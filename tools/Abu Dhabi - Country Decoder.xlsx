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emre.kaya/Desktop/projects/abudhabi/tools/"/>
    </mc:Choice>
  </mc:AlternateContent>
  <xr:revisionPtr revIDLastSave="0" documentId="13_ncr:1_{BCA371FC-9513-B449-84FA-2EEAC4932AA7}" xr6:coauthVersionLast="47" xr6:coauthVersionMax="47" xr10:uidLastSave="{00000000-0000-0000-0000-000000000000}"/>
  <bookViews>
    <workbookView minimized="1" xWindow="0" yWindow="760" windowWidth="28740" windowHeight="17200" tabRatio="721" activeTab="2" xr2:uid="{3982F333-F8C8-49F3-BE21-9E6A84481B54}"/>
  </bookViews>
  <sheets>
    <sheet name="Human Development Index 2022" sheetId="7" state="hidden" r:id="rId1"/>
    <sheet name="202503421 Tourism Ireland - Dis" sheetId="29" state="hidden" r:id="rId2"/>
    <sheet name="Country Decoder - Final 2503205" sheetId="31" r:id="rId3"/>
    <sheet name="dataviz" sheetId="35" r:id="rId4"/>
    <sheet name="Country Decoder - All Factors" sheetId="28" r:id="rId5"/>
    <sheet name="Country Decoder - Final (2)" sheetId="30" r:id="rId6"/>
    <sheet name="Country Decoder - Final" sheetId="24" r:id="rId7"/>
    <sheet name="DPI" sheetId="26" r:id="rId8"/>
    <sheet name="Trips" sheetId="23" r:id="rId9"/>
    <sheet name="Spend" sheetId="22" r:id="rId10"/>
    <sheet name="Tourist Departures" sheetId="18" r:id="rId11"/>
    <sheet name="TD Raw Data" sheetId="19" state="hidden" r:id="rId12"/>
    <sheet name="Minimum Wage" sheetId="17" r:id="rId13"/>
    <sheet name="Hourly Minimum Wage Raw Data" sheetId="16" state="hidden" r:id="rId14"/>
    <sheet name="NoofMillionaires" sheetId="15" r:id="rId15"/>
    <sheet name="Inflation Rate" sheetId="13" r:id="rId16"/>
    <sheet name="NoofMillionaires Raw Data" sheetId="14" state="hidden" r:id="rId17"/>
    <sheet name="Population" sheetId="10" r:id="rId18"/>
    <sheet name="Search Volume" sheetId="8" r:id="rId19"/>
    <sheet name="Keyword List" sheetId="34" r:id="rId20"/>
    <sheet name="StandardofLiving" sheetId="6" r:id="rId21"/>
    <sheet name="GDP Per Capita" sheetId="5" r:id="rId22"/>
    <sheet name="MAS" sheetId="4" r:id="rId23"/>
    <sheet name="Population Raw Data" sheetId="9" state="hidden" r:id="rId24"/>
    <sheet name="GDP" sheetId="2" r:id="rId25"/>
    <sheet name="Cost of Media" sheetId="25" r:id="rId26"/>
    <sheet name="Magna Cost of Media" sheetId="11" r:id="rId27"/>
    <sheet name="Perception Scores" sheetId="27" r:id="rId28"/>
    <sheet name="Sheet1" sheetId="36" r:id="rId29"/>
    <sheet name="Inflation Rate Raw Data" sheetId="12" state="hidden" r:id="rId30"/>
  </sheets>
  <definedNames>
    <definedName name="_xlnm._FilterDatabase" localSheetId="4" hidden="1">'Country Decoder - All Factors'!$B$2:$AA$2</definedName>
    <definedName name="_xlnm._FilterDatabase" localSheetId="6" hidden="1">'Country Decoder - Final'!$J$2:$V$2</definedName>
    <definedName name="_xlnm._FilterDatabase" localSheetId="5" hidden="1">'Country Decoder - Final (2)'!$G$2:$T$2</definedName>
    <definedName name="_xlnm._FilterDatabase" localSheetId="2" hidden="1">'Country Decoder - Final 2503205'!$L$2:$AF$2</definedName>
    <definedName name="_xlnm._FilterDatabase" localSheetId="15" hidden="1">'Inflation Rate'!$A$1:$B$13</definedName>
    <definedName name="_xlnm._FilterDatabase" localSheetId="16" hidden="1">'NoofMillionaires Raw Data'!$A$1:$B$47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35" l="1"/>
  <c r="C46" i="35"/>
  <c r="C50" i="35"/>
  <c r="C53" i="35"/>
  <c r="C54" i="35"/>
  <c r="C58" i="35"/>
  <c r="C61" i="35"/>
  <c r="C62" i="35"/>
  <c r="D34" i="35"/>
  <c r="O5" i="35"/>
  <c r="P5" i="35"/>
  <c r="Q5" i="35"/>
  <c r="O6" i="35"/>
  <c r="P6" i="35"/>
  <c r="Q6" i="35"/>
  <c r="O7" i="35"/>
  <c r="P7" i="35"/>
  <c r="Q7" i="35"/>
  <c r="O8" i="35"/>
  <c r="P8" i="35"/>
  <c r="Q8" i="35"/>
  <c r="O9" i="35"/>
  <c r="P9" i="35"/>
  <c r="Q9" i="35"/>
  <c r="O10" i="35"/>
  <c r="P10" i="35"/>
  <c r="Q10" i="35"/>
  <c r="O11" i="35"/>
  <c r="P11" i="35"/>
  <c r="Q11" i="35"/>
  <c r="O12" i="35"/>
  <c r="P12" i="35"/>
  <c r="Q12" i="35"/>
  <c r="O13" i="35"/>
  <c r="P13" i="35"/>
  <c r="Q13" i="35"/>
  <c r="O14" i="35"/>
  <c r="P14" i="35"/>
  <c r="Q14" i="35"/>
  <c r="O15" i="35"/>
  <c r="P15" i="35"/>
  <c r="Q15" i="35"/>
  <c r="O16" i="35"/>
  <c r="P16" i="35"/>
  <c r="Q16" i="35"/>
  <c r="O17" i="35"/>
  <c r="P17" i="35"/>
  <c r="Q17" i="35"/>
  <c r="O18" i="35"/>
  <c r="P18" i="35"/>
  <c r="Q18" i="35"/>
  <c r="O19" i="35"/>
  <c r="P19" i="35"/>
  <c r="Q19" i="35"/>
  <c r="O20" i="35"/>
  <c r="P20" i="35"/>
  <c r="Q20" i="35"/>
  <c r="O21" i="35"/>
  <c r="P21" i="35"/>
  <c r="Q21" i="35"/>
  <c r="O22" i="35"/>
  <c r="P22" i="35"/>
  <c r="Q22" i="35"/>
  <c r="O23" i="35"/>
  <c r="P23" i="35"/>
  <c r="Q23" i="35"/>
  <c r="O24" i="35"/>
  <c r="P24" i="35"/>
  <c r="Q24" i="35"/>
  <c r="O25" i="35"/>
  <c r="P25" i="35"/>
  <c r="Q25" i="35"/>
  <c r="O26" i="35"/>
  <c r="P26" i="35"/>
  <c r="Q26" i="35"/>
  <c r="O27" i="35"/>
  <c r="P27" i="35"/>
  <c r="Q27" i="35"/>
  <c r="O28" i="35"/>
  <c r="P28" i="35"/>
  <c r="Q28" i="35"/>
  <c r="O29" i="35"/>
  <c r="P29" i="35"/>
  <c r="Q29" i="35"/>
  <c r="O30" i="35"/>
  <c r="P30" i="35"/>
  <c r="Q30" i="35"/>
  <c r="P4" i="35"/>
  <c r="Q4" i="35"/>
  <c r="O4" i="35"/>
  <c r="D4" i="35"/>
  <c r="S5" i="35" s="1" a="1"/>
  <c r="S5" i="35" s="1"/>
  <c r="E4" i="35"/>
  <c r="E39" i="35" s="1" a="1"/>
  <c r="E39" i="35" s="1"/>
  <c r="F4" i="35"/>
  <c r="G4" i="35"/>
  <c r="D39" i="35" s="1" a="1"/>
  <c r="D39" i="35" s="1"/>
  <c r="H4" i="35"/>
  <c r="I4" i="35"/>
  <c r="J4" i="35"/>
  <c r="K4" i="35"/>
  <c r="L4" i="35"/>
  <c r="M4" i="35"/>
  <c r="N4" i="35"/>
  <c r="D5" i="35"/>
  <c r="C39" i="35" s="1"/>
  <c r="E5" i="35"/>
  <c r="F5" i="35"/>
  <c r="G5" i="35"/>
  <c r="H5" i="35"/>
  <c r="I5" i="35"/>
  <c r="J5" i="35"/>
  <c r="K5" i="35"/>
  <c r="L5" i="35"/>
  <c r="M5" i="35"/>
  <c r="N5" i="35"/>
  <c r="D6" i="35"/>
  <c r="C40" i="35" s="1"/>
  <c r="E6" i="35"/>
  <c r="F6" i="35"/>
  <c r="G6" i="35"/>
  <c r="H6" i="35"/>
  <c r="I6" i="35"/>
  <c r="J6" i="35"/>
  <c r="K6" i="35"/>
  <c r="L6" i="35"/>
  <c r="M6" i="35"/>
  <c r="N6" i="35"/>
  <c r="D7" i="35"/>
  <c r="C41" i="35" s="1"/>
  <c r="E7" i="35"/>
  <c r="F7" i="35"/>
  <c r="G7" i="35"/>
  <c r="H7" i="35"/>
  <c r="I7" i="35"/>
  <c r="J7" i="35"/>
  <c r="K7" i="35"/>
  <c r="L7" i="35"/>
  <c r="M7" i="35"/>
  <c r="N7" i="35"/>
  <c r="D8" i="35"/>
  <c r="C42" i="35" s="1"/>
  <c r="E8" i="35"/>
  <c r="F8" i="35"/>
  <c r="G8" i="35"/>
  <c r="H8" i="35"/>
  <c r="I8" i="35"/>
  <c r="J8" i="35"/>
  <c r="K8" i="35"/>
  <c r="L8" i="35"/>
  <c r="M8" i="35"/>
  <c r="N8" i="35"/>
  <c r="D9" i="35"/>
  <c r="C43" i="35" s="1"/>
  <c r="E9" i="35"/>
  <c r="F9" i="35"/>
  <c r="G9" i="35"/>
  <c r="H9" i="35"/>
  <c r="I9" i="35"/>
  <c r="J9" i="35"/>
  <c r="K9" i="35"/>
  <c r="L9" i="35"/>
  <c r="M9" i="35"/>
  <c r="N9" i="35"/>
  <c r="D10" i="35"/>
  <c r="C44" i="35" s="1"/>
  <c r="E10" i="35"/>
  <c r="F10" i="35"/>
  <c r="G10" i="35"/>
  <c r="H10" i="35"/>
  <c r="I10" i="35"/>
  <c r="J10" i="35"/>
  <c r="K10" i="35"/>
  <c r="L10" i="35"/>
  <c r="M10" i="35"/>
  <c r="N10" i="35"/>
  <c r="D11" i="35"/>
  <c r="E11" i="35"/>
  <c r="F11" i="35"/>
  <c r="G11" i="35"/>
  <c r="H11" i="35"/>
  <c r="I11" i="35"/>
  <c r="J11" i="35"/>
  <c r="K11" i="35"/>
  <c r="L11" i="35"/>
  <c r="M11" i="35"/>
  <c r="N11" i="35"/>
  <c r="D12" i="35"/>
  <c r="E12" i="35"/>
  <c r="F12" i="35"/>
  <c r="G12" i="35"/>
  <c r="H12" i="35"/>
  <c r="I12" i="35"/>
  <c r="J12" i="35"/>
  <c r="K12" i="35"/>
  <c r="L12" i="35"/>
  <c r="M12" i="35"/>
  <c r="N12" i="35"/>
  <c r="D13" i="35"/>
  <c r="C47" i="35" s="1"/>
  <c r="E13" i="35"/>
  <c r="F13" i="35"/>
  <c r="G13" i="35"/>
  <c r="H13" i="35"/>
  <c r="I13" i="35"/>
  <c r="J13" i="35"/>
  <c r="K13" i="35"/>
  <c r="L13" i="35"/>
  <c r="M13" i="35"/>
  <c r="N13" i="35"/>
  <c r="D14" i="35"/>
  <c r="C48" i="35" s="1"/>
  <c r="E14" i="35"/>
  <c r="F14" i="35"/>
  <c r="G14" i="35"/>
  <c r="H14" i="35"/>
  <c r="I14" i="35"/>
  <c r="J14" i="35"/>
  <c r="K14" i="35"/>
  <c r="L14" i="35"/>
  <c r="M14" i="35"/>
  <c r="N14" i="35"/>
  <c r="D15" i="35"/>
  <c r="C49" i="35" s="1"/>
  <c r="E15" i="35"/>
  <c r="F15" i="35"/>
  <c r="G15" i="35"/>
  <c r="H15" i="35"/>
  <c r="I15" i="35"/>
  <c r="J15" i="35"/>
  <c r="K15" i="35"/>
  <c r="L15" i="35"/>
  <c r="M15" i="35"/>
  <c r="N15" i="35"/>
  <c r="D16" i="35"/>
  <c r="E16" i="35"/>
  <c r="F16" i="35"/>
  <c r="G16" i="35"/>
  <c r="H16" i="35"/>
  <c r="I16" i="35"/>
  <c r="J16" i="35"/>
  <c r="K16" i="35"/>
  <c r="L16" i="35"/>
  <c r="M16" i="35"/>
  <c r="N16" i="35"/>
  <c r="D17" i="35"/>
  <c r="C51" i="35" s="1"/>
  <c r="E17" i="35"/>
  <c r="F17" i="35"/>
  <c r="G17" i="35"/>
  <c r="H17" i="35"/>
  <c r="I17" i="35"/>
  <c r="J17" i="35"/>
  <c r="K17" i="35"/>
  <c r="L17" i="35"/>
  <c r="M17" i="35"/>
  <c r="N17" i="35"/>
  <c r="D18" i="35"/>
  <c r="C52" i="35" s="1"/>
  <c r="E18" i="35"/>
  <c r="F18" i="35"/>
  <c r="G18" i="35"/>
  <c r="H18" i="35"/>
  <c r="I18" i="35"/>
  <c r="J18" i="35"/>
  <c r="K18" i="35"/>
  <c r="L18" i="35"/>
  <c r="M18" i="35"/>
  <c r="N18" i="35"/>
  <c r="D19" i="35"/>
  <c r="E19" i="35"/>
  <c r="F19" i="35"/>
  <c r="G19" i="35"/>
  <c r="H19" i="35"/>
  <c r="I19" i="35"/>
  <c r="J19" i="35"/>
  <c r="K19" i="35"/>
  <c r="L19" i="35"/>
  <c r="M19" i="35"/>
  <c r="N19" i="35"/>
  <c r="D20" i="35"/>
  <c r="E20" i="35"/>
  <c r="F20" i="35"/>
  <c r="G20" i="35"/>
  <c r="H20" i="35"/>
  <c r="I20" i="35"/>
  <c r="J20" i="35"/>
  <c r="K20" i="35"/>
  <c r="L20" i="35"/>
  <c r="M20" i="35"/>
  <c r="N20" i="35"/>
  <c r="D21" i="35"/>
  <c r="C55" i="35" s="1"/>
  <c r="E21" i="35"/>
  <c r="F21" i="35"/>
  <c r="G21" i="35"/>
  <c r="H21" i="35"/>
  <c r="I21" i="35"/>
  <c r="J21" i="35"/>
  <c r="K21" i="35"/>
  <c r="L21" i="35"/>
  <c r="M21" i="35"/>
  <c r="N21" i="35"/>
  <c r="D22" i="35"/>
  <c r="C56" i="35" s="1"/>
  <c r="E22" i="35"/>
  <c r="F22" i="35"/>
  <c r="G22" i="35"/>
  <c r="H22" i="35"/>
  <c r="I22" i="35"/>
  <c r="J22" i="35"/>
  <c r="K22" i="35"/>
  <c r="L22" i="35"/>
  <c r="M22" i="35"/>
  <c r="N22" i="35"/>
  <c r="D23" i="35"/>
  <c r="C57" i="35" s="1"/>
  <c r="E23" i="35"/>
  <c r="F23" i="35"/>
  <c r="G23" i="35"/>
  <c r="H23" i="35"/>
  <c r="I23" i="35"/>
  <c r="J23" i="35"/>
  <c r="K23" i="35"/>
  <c r="L23" i="35"/>
  <c r="M23" i="35"/>
  <c r="N23" i="35"/>
  <c r="D24" i="35"/>
  <c r="E24" i="35"/>
  <c r="F24" i="35"/>
  <c r="G24" i="35"/>
  <c r="H24" i="35"/>
  <c r="I24" i="35"/>
  <c r="J24" i="35"/>
  <c r="K24" i="35"/>
  <c r="L24" i="35"/>
  <c r="M24" i="35"/>
  <c r="N24" i="35"/>
  <c r="D25" i="35"/>
  <c r="C59" i="35" s="1"/>
  <c r="E25" i="35"/>
  <c r="F25" i="35"/>
  <c r="G25" i="35"/>
  <c r="H25" i="35"/>
  <c r="I25" i="35"/>
  <c r="J25" i="35"/>
  <c r="K25" i="35"/>
  <c r="L25" i="35"/>
  <c r="M25" i="35"/>
  <c r="N25" i="35"/>
  <c r="D26" i="35"/>
  <c r="C60" i="35" s="1"/>
  <c r="E26" i="35"/>
  <c r="F26" i="35"/>
  <c r="G26" i="35"/>
  <c r="H26" i="35"/>
  <c r="I26" i="35"/>
  <c r="J26" i="35"/>
  <c r="K26" i="35"/>
  <c r="L26" i="35"/>
  <c r="M26" i="35"/>
  <c r="N26" i="35"/>
  <c r="D27" i="35"/>
  <c r="E27" i="35"/>
  <c r="F27" i="35"/>
  <c r="G27" i="35"/>
  <c r="H27" i="35"/>
  <c r="I27" i="35"/>
  <c r="J27" i="35"/>
  <c r="K27" i="35"/>
  <c r="L27" i="35"/>
  <c r="M27" i="35"/>
  <c r="N27" i="35"/>
  <c r="D28" i="35"/>
  <c r="E28" i="35"/>
  <c r="F28" i="35"/>
  <c r="G28" i="35"/>
  <c r="H28" i="35"/>
  <c r="I28" i="35"/>
  <c r="J28" i="35"/>
  <c r="K28" i="35"/>
  <c r="L28" i="35"/>
  <c r="M28" i="35"/>
  <c r="N28" i="35"/>
  <c r="D29" i="35"/>
  <c r="C63" i="35" s="1"/>
  <c r="E29" i="35"/>
  <c r="F29" i="35"/>
  <c r="G29" i="35"/>
  <c r="H29" i="35"/>
  <c r="I29" i="35"/>
  <c r="J29" i="35"/>
  <c r="K29" i="35"/>
  <c r="L29" i="35"/>
  <c r="M29" i="35"/>
  <c r="N29" i="35"/>
  <c r="D30" i="35"/>
  <c r="C64" i="35" s="1"/>
  <c r="E30" i="35"/>
  <c r="F30" i="35"/>
  <c r="G30" i="35"/>
  <c r="H30" i="35"/>
  <c r="I30" i="35"/>
  <c r="J30" i="35"/>
  <c r="K30" i="35"/>
  <c r="L30" i="35"/>
  <c r="M30" i="35"/>
  <c r="N30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F39" i="35" l="1" a="1"/>
  <c r="F39" i="35" s="1"/>
  <c r="N3" i="31" l="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36" i="31"/>
  <c r="O36" i="31"/>
  <c r="S36" i="31"/>
  <c r="T36" i="31"/>
  <c r="U36" i="31"/>
  <c r="V36" i="31"/>
  <c r="M36" i="31"/>
  <c r="A3" i="31" l="1"/>
  <c r="V3" i="31" s="1"/>
  <c r="P70" i="31" a="1"/>
  <c r="P70" i="31" s="1"/>
  <c r="AG19" i="31"/>
  <c r="S4" i="31"/>
  <c r="S5" i="31"/>
  <c r="S6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3" i="31"/>
  <c r="A4" i="31"/>
  <c r="A5" i="31"/>
  <c r="A6" i="31"/>
  <c r="V6" i="31" s="1"/>
  <c r="A7" i="31"/>
  <c r="A8" i="31"/>
  <c r="V8" i="31" s="1"/>
  <c r="A9" i="31"/>
  <c r="V9" i="31" s="1"/>
  <c r="A10" i="31"/>
  <c r="V10" i="31" s="1"/>
  <c r="A11" i="31"/>
  <c r="V11" i="31" s="1"/>
  <c r="A12" i="31"/>
  <c r="V12" i="31" s="1"/>
  <c r="A13" i="31"/>
  <c r="V13" i="31" s="1"/>
  <c r="A14" i="31"/>
  <c r="V14" i="31" s="1"/>
  <c r="A15" i="31"/>
  <c r="V15" i="31" s="1"/>
  <c r="A16" i="31"/>
  <c r="V16" i="31" s="1"/>
  <c r="A17" i="31"/>
  <c r="V17" i="31" s="1"/>
  <c r="A18" i="31"/>
  <c r="V18" i="31" s="1"/>
  <c r="A19" i="31"/>
  <c r="V19" i="31" s="1"/>
  <c r="A20" i="31"/>
  <c r="V20" i="31" s="1"/>
  <c r="A21" i="31"/>
  <c r="A22" i="31"/>
  <c r="A23" i="31"/>
  <c r="A24" i="31"/>
  <c r="A25" i="31"/>
  <c r="A26" i="31"/>
  <c r="A27" i="31"/>
  <c r="A28" i="31"/>
  <c r="V3" i="8" a="1"/>
  <c r="V3" i="8" s="1"/>
  <c r="S3" i="8" a="1"/>
  <c r="S3" i="8" s="1"/>
  <c r="P3" i="8" a="1"/>
  <c r="P3" i="8" s="1"/>
  <c r="M3" i="8" a="1"/>
  <c r="M3" i="8" s="1"/>
  <c r="Q4" i="31" l="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3" i="28"/>
  <c r="M2" i="28"/>
  <c r="L2" i="28"/>
  <c r="T30" i="28"/>
  <c r="T29" i="28"/>
  <c r="O30" i="28"/>
  <c r="O29" i="28"/>
  <c r="P30" i="28"/>
  <c r="P29" i="28"/>
  <c r="Q30" i="28"/>
  <c r="Q29" i="28"/>
  <c r="D21" i="2"/>
  <c r="G29" i="28"/>
  <c r="G30" i="28"/>
  <c r="C9" i="28"/>
  <c r="D29" i="28"/>
  <c r="D30" i="28"/>
  <c r="U4" i="28"/>
  <c r="U5" i="28"/>
  <c r="U6" i="28"/>
  <c r="U7" i="28"/>
  <c r="U8" i="28"/>
  <c r="U9" i="28"/>
  <c r="U10" i="28"/>
  <c r="U11" i="28"/>
  <c r="U12" i="28"/>
  <c r="U13" i="28"/>
  <c r="U14" i="28"/>
  <c r="U15" i="28"/>
  <c r="U16" i="28"/>
  <c r="U17" i="28"/>
  <c r="U18" i="28"/>
  <c r="U19" i="28"/>
  <c r="U20" i="28"/>
  <c r="U21" i="28"/>
  <c r="U22" i="28"/>
  <c r="U23" i="28"/>
  <c r="U24" i="28"/>
  <c r="U25" i="28"/>
  <c r="U26" i="28"/>
  <c r="U27" i="28"/>
  <c r="U28" i="28"/>
  <c r="U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3" i="28"/>
  <c r="S4" i="28"/>
  <c r="S5" i="28"/>
  <c r="S8" i="28"/>
  <c r="S9" i="28"/>
  <c r="S10" i="28"/>
  <c r="S13" i="28"/>
  <c r="S18" i="28"/>
  <c r="S22" i="28"/>
  <c r="S25" i="28"/>
  <c r="S26" i="28"/>
  <c r="S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3" i="28"/>
  <c r="E4" i="28"/>
  <c r="E5" i="28"/>
  <c r="E6" i="28"/>
  <c r="E7" i="28"/>
  <c r="E8" i="28"/>
  <c r="E9" i="28"/>
  <c r="E30" i="28" s="1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31" i="28"/>
  <c r="D32" i="28"/>
  <c r="D33" i="28"/>
  <c r="D34" i="28"/>
  <c r="D3" i="28"/>
  <c r="C4" i="28"/>
  <c r="C5" i="28"/>
  <c r="C6" i="28"/>
  <c r="C7" i="28"/>
  <c r="C8" i="28"/>
  <c r="C10" i="28"/>
  <c r="C29" i="28" s="1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3" i="28"/>
  <c r="G31" i="28"/>
  <c r="I2" i="28"/>
  <c r="N11" i="28"/>
  <c r="W11" i="28"/>
  <c r="X11" i="28"/>
  <c r="N12" i="28"/>
  <c r="W12" i="28"/>
  <c r="X12" i="28" s="1"/>
  <c r="N13" i="28"/>
  <c r="W13" i="28"/>
  <c r="X13" i="28"/>
  <c r="N14" i="28"/>
  <c r="W14" i="28"/>
  <c r="X14" i="28"/>
  <c r="N15" i="28"/>
  <c r="W15" i="28"/>
  <c r="X15" i="28" s="1"/>
  <c r="N16" i="28"/>
  <c r="W16" i="28"/>
  <c r="X16" i="28"/>
  <c r="N17" i="28"/>
  <c r="W17" i="28"/>
  <c r="X17" i="28"/>
  <c r="N18" i="28"/>
  <c r="W18" i="28"/>
  <c r="X18" i="28"/>
  <c r="N19" i="28"/>
  <c r="W19" i="28"/>
  <c r="X19" i="28"/>
  <c r="N20" i="28"/>
  <c r="W20" i="28"/>
  <c r="X20" i="28" s="1"/>
  <c r="N21" i="28"/>
  <c r="W21" i="28"/>
  <c r="X21" i="28"/>
  <c r="N22" i="28"/>
  <c r="W22" i="28"/>
  <c r="X22" i="28"/>
  <c r="N28" i="28"/>
  <c r="W28" i="28"/>
  <c r="X28" i="28" s="1"/>
  <c r="W3" i="28"/>
  <c r="X3" i="28" s="1"/>
  <c r="N3" i="28"/>
  <c r="R15" i="24"/>
  <c r="N15" i="24"/>
  <c r="M15" i="24"/>
  <c r="L15" i="24"/>
  <c r="K15" i="24"/>
  <c r="D27" i="2"/>
  <c r="D26" i="2"/>
  <c r="D16" i="2"/>
  <c r="D17" i="2"/>
  <c r="D18" i="2"/>
  <c r="D19" i="2"/>
  <c r="S27" i="28" s="1"/>
  <c r="D20" i="2"/>
  <c r="S14" i="28" s="1"/>
  <c r="D22" i="2"/>
  <c r="S11" i="28" s="1"/>
  <c r="D23" i="2"/>
  <c r="D24" i="2"/>
  <c r="D25" i="2"/>
  <c r="D15" i="2"/>
  <c r="S21" i="28" s="1"/>
  <c r="D14" i="2"/>
  <c r="S19" i="28" s="1"/>
  <c r="V4" i="31"/>
  <c r="V5" i="31"/>
  <c r="V7" i="31"/>
  <c r="V21" i="31"/>
  <c r="V22" i="31"/>
  <c r="V23" i="31"/>
  <c r="V24" i="31"/>
  <c r="V25" i="31"/>
  <c r="V26" i="31"/>
  <c r="V27" i="31"/>
  <c r="V28" i="31"/>
  <c r="S29" i="31"/>
  <c r="T29" i="31"/>
  <c r="U29" i="31"/>
  <c r="S30" i="31"/>
  <c r="T30" i="31"/>
  <c r="U30" i="31"/>
  <c r="P2" i="31"/>
  <c r="P36" i="31" s="1"/>
  <c r="Q2" i="31"/>
  <c r="Q36" i="31" s="1"/>
  <c r="R2" i="31"/>
  <c r="R36" i="31" s="1"/>
  <c r="O3" i="31"/>
  <c r="T40" i="31" l="1"/>
  <c r="T41" i="31"/>
  <c r="T42" i="31"/>
  <c r="T44" i="31"/>
  <c r="T45" i="31"/>
  <c r="T47" i="31"/>
  <c r="T49" i="31"/>
  <c r="T50" i="31"/>
  <c r="T51" i="31"/>
  <c r="T54" i="31"/>
  <c r="T55" i="31"/>
  <c r="T56" i="31"/>
  <c r="T46" i="31"/>
  <c r="T52" i="31"/>
  <c r="T57" i="31"/>
  <c r="T60" i="31"/>
  <c r="T39" i="31"/>
  <c r="T43" i="31"/>
  <c r="T48" i="31"/>
  <c r="T53" i="31"/>
  <c r="T58" i="31"/>
  <c r="T38" i="31"/>
  <c r="T62" i="31"/>
  <c r="T59" i="31"/>
  <c r="T61" i="31"/>
  <c r="U44" i="31"/>
  <c r="U52" i="31"/>
  <c r="U60" i="31"/>
  <c r="U39" i="31"/>
  <c r="U48" i="31"/>
  <c r="U41" i="31"/>
  <c r="U42" i="31"/>
  <c r="U51" i="31"/>
  <c r="U59" i="31"/>
  <c r="U45" i="31"/>
  <c r="U53" i="31"/>
  <c r="U61" i="31"/>
  <c r="U55" i="31"/>
  <c r="U56" i="31"/>
  <c r="U57" i="31"/>
  <c r="U50" i="31"/>
  <c r="U43" i="31"/>
  <c r="U46" i="31"/>
  <c r="U54" i="31"/>
  <c r="U62" i="31"/>
  <c r="U47" i="31"/>
  <c r="U38" i="31"/>
  <c r="U40" i="31"/>
  <c r="U49" i="31"/>
  <c r="U58" i="31"/>
  <c r="S48" i="31"/>
  <c r="S52" i="31"/>
  <c r="S38" i="31"/>
  <c r="S50" i="31"/>
  <c r="S41" i="31"/>
  <c r="S45" i="31"/>
  <c r="S56" i="31"/>
  <c r="S60" i="31"/>
  <c r="S42" i="31"/>
  <c r="S43" i="31"/>
  <c r="S58" i="31"/>
  <c r="S47" i="31"/>
  <c r="S49" i="31"/>
  <c r="S53" i="31"/>
  <c r="S46" i="31"/>
  <c r="S57" i="31"/>
  <c r="S61" i="31"/>
  <c r="S51" i="31"/>
  <c r="S44" i="31"/>
  <c r="S59" i="31"/>
  <c r="S54" i="31"/>
  <c r="S39" i="31"/>
  <c r="S62" i="31"/>
  <c r="S40" i="31"/>
  <c r="S55" i="31"/>
  <c r="R29" i="28"/>
  <c r="R30" i="28"/>
  <c r="F30" i="28"/>
  <c r="E29" i="28"/>
  <c r="F29" i="28"/>
  <c r="C30" i="28"/>
  <c r="V30" i="31"/>
  <c r="V29" i="31"/>
  <c r="V58" i="31" s="1"/>
  <c r="S37" i="31"/>
  <c r="U37" i="31"/>
  <c r="T37" i="31"/>
  <c r="M30" i="31"/>
  <c r="M29" i="31"/>
  <c r="R29" i="31"/>
  <c r="N30" i="31"/>
  <c r="O30" i="31"/>
  <c r="N29" i="31"/>
  <c r="R30" i="31"/>
  <c r="O29" i="31"/>
  <c r="R38" i="31" l="1"/>
  <c r="R46" i="31"/>
  <c r="R54" i="31"/>
  <c r="R62" i="31"/>
  <c r="R39" i="31"/>
  <c r="R47" i="31"/>
  <c r="R55" i="31"/>
  <c r="R37" i="31"/>
  <c r="R40" i="31"/>
  <c r="R48" i="31"/>
  <c r="R56" i="31"/>
  <c r="R41" i="31"/>
  <c r="R49" i="31"/>
  <c r="R57" i="31"/>
  <c r="R42" i="31"/>
  <c r="R50" i="31"/>
  <c r="R58" i="31"/>
  <c r="R43" i="31"/>
  <c r="R51" i="31"/>
  <c r="R59" i="31"/>
  <c r="R44" i="31"/>
  <c r="R52" i="31"/>
  <c r="R60" i="31"/>
  <c r="R45" i="31"/>
  <c r="R53" i="31"/>
  <c r="R61" i="31"/>
  <c r="N61" i="31"/>
  <c r="M62" i="31"/>
  <c r="M41" i="31"/>
  <c r="M53" i="31"/>
  <c r="V55" i="31"/>
  <c r="V60" i="31"/>
  <c r="M58" i="31"/>
  <c r="N58" i="31"/>
  <c r="V59" i="31"/>
  <c r="N52" i="31"/>
  <c r="M43" i="31"/>
  <c r="N60" i="31"/>
  <c r="N49" i="31"/>
  <c r="V38" i="31"/>
  <c r="M51" i="31"/>
  <c r="N50" i="31"/>
  <c r="N41" i="31"/>
  <c r="O41" i="31"/>
  <c r="M59" i="31"/>
  <c r="N38" i="31"/>
  <c r="N40" i="31"/>
  <c r="O45" i="31"/>
  <c r="O52" i="31"/>
  <c r="O58" i="31"/>
  <c r="V61" i="31"/>
  <c r="V62" i="31"/>
  <c r="N42" i="31"/>
  <c r="O61" i="31"/>
  <c r="M60" i="31"/>
  <c r="M54" i="31"/>
  <c r="M50" i="31"/>
  <c r="N44" i="31"/>
  <c r="O49" i="31"/>
  <c r="V56" i="31"/>
  <c r="O56" i="31"/>
  <c r="O57" i="31"/>
  <c r="N62" i="31"/>
  <c r="N48" i="31"/>
  <c r="M40" i="31"/>
  <c r="O47" i="31"/>
  <c r="M49" i="31"/>
  <c r="N43" i="31"/>
  <c r="V41" i="31"/>
  <c r="N54" i="31"/>
  <c r="M48" i="31"/>
  <c r="O54" i="31"/>
  <c r="N46" i="31"/>
  <c r="N47" i="31"/>
  <c r="O43" i="31"/>
  <c r="M57" i="31"/>
  <c r="N51" i="31"/>
  <c r="O62" i="31"/>
  <c r="M39" i="31"/>
  <c r="O44" i="31"/>
  <c r="O40" i="31"/>
  <c r="O39" i="31"/>
  <c r="O60" i="31"/>
  <c r="O38" i="31"/>
  <c r="O46" i="31"/>
  <c r="N56" i="31"/>
  <c r="O42" i="31"/>
  <c r="M56" i="31"/>
  <c r="N53" i="31"/>
  <c r="M45" i="31"/>
  <c r="M46" i="31"/>
  <c r="O51" i="31"/>
  <c r="N45" i="31"/>
  <c r="N39" i="31"/>
  <c r="N59" i="31"/>
  <c r="M52" i="31"/>
  <c r="M47" i="31"/>
  <c r="N55" i="31"/>
  <c r="O55" i="31"/>
  <c r="N57" i="31"/>
  <c r="O48" i="31"/>
  <c r="V45" i="31"/>
  <c r="V42" i="31"/>
  <c r="V44" i="31"/>
  <c r="V50" i="31"/>
  <c r="V52" i="31"/>
  <c r="V47" i="31"/>
  <c r="V53" i="31"/>
  <c r="V49" i="31"/>
  <c r="V43" i="31"/>
  <c r="V51" i="31"/>
  <c r="V40" i="31"/>
  <c r="V54" i="31"/>
  <c r="V46" i="31"/>
  <c r="V48" i="31"/>
  <c r="O50" i="31"/>
  <c r="V57" i="31"/>
  <c r="M44" i="31"/>
  <c r="M61" i="31"/>
  <c r="O59" i="31"/>
  <c r="M38" i="31"/>
  <c r="M42" i="31"/>
  <c r="O53" i="31"/>
  <c r="V39" i="31"/>
  <c r="M55" i="31"/>
  <c r="V37" i="31"/>
  <c r="M37" i="31"/>
  <c r="N37" i="31"/>
  <c r="O37" i="31"/>
  <c r="R3" i="24" l="1"/>
  <c r="S4" i="24"/>
  <c r="M4" i="24"/>
  <c r="M5" i="24"/>
  <c r="M6" i="24"/>
  <c r="M7" i="24"/>
  <c r="M8" i="24"/>
  <c r="M17" i="24" s="1"/>
  <c r="M9" i="24"/>
  <c r="M10" i="24"/>
  <c r="M11" i="24"/>
  <c r="M12" i="24"/>
  <c r="M13" i="24"/>
  <c r="M14" i="24"/>
  <c r="M3" i="24"/>
  <c r="G35" i="30"/>
  <c r="G34" i="30"/>
  <c r="G33" i="30"/>
  <c r="G32" i="30"/>
  <c r="G31" i="30"/>
  <c r="G30" i="30"/>
  <c r="G29" i="30"/>
  <c r="G28" i="30"/>
  <c r="G27" i="30"/>
  <c r="G26" i="30"/>
  <c r="G25" i="30"/>
  <c r="G24" i="30"/>
  <c r="I23" i="30"/>
  <c r="H23" i="30"/>
  <c r="T19" i="30"/>
  <c r="O16" i="30"/>
  <c r="P14" i="30"/>
  <c r="Q14" i="30" s="1"/>
  <c r="N14" i="30"/>
  <c r="L14" i="30"/>
  <c r="J14" i="30"/>
  <c r="I14" i="30"/>
  <c r="H14" i="30"/>
  <c r="P13" i="30"/>
  <c r="Q13" i="30" s="1"/>
  <c r="N13" i="30"/>
  <c r="M13" i="30"/>
  <c r="L13" i="30"/>
  <c r="J13" i="30"/>
  <c r="I13" i="30"/>
  <c r="H13" i="30"/>
  <c r="P12" i="30"/>
  <c r="Q12" i="30" s="1"/>
  <c r="N12" i="30"/>
  <c r="L12" i="30"/>
  <c r="J12" i="30"/>
  <c r="I12" i="30"/>
  <c r="H12" i="30"/>
  <c r="P11" i="30"/>
  <c r="Q11" i="30" s="1"/>
  <c r="N11" i="30"/>
  <c r="M11" i="30"/>
  <c r="L11" i="30"/>
  <c r="J11" i="30"/>
  <c r="I11" i="30"/>
  <c r="H11" i="30"/>
  <c r="P10" i="30"/>
  <c r="Q10" i="30" s="1"/>
  <c r="N10" i="30"/>
  <c r="M10" i="30"/>
  <c r="L10" i="30"/>
  <c r="J10" i="30"/>
  <c r="I10" i="30"/>
  <c r="H10" i="30"/>
  <c r="P9" i="30"/>
  <c r="Q9" i="30" s="1"/>
  <c r="N9" i="30"/>
  <c r="J9" i="30"/>
  <c r="I9" i="30"/>
  <c r="H9" i="30"/>
  <c r="P8" i="30"/>
  <c r="Q8" i="30" s="1"/>
  <c r="J8" i="30"/>
  <c r="I8" i="30"/>
  <c r="H8" i="30"/>
  <c r="P7" i="30"/>
  <c r="Q7" i="30" s="1"/>
  <c r="N7" i="30"/>
  <c r="J7" i="30"/>
  <c r="I7" i="30"/>
  <c r="H7" i="30"/>
  <c r="P6" i="30"/>
  <c r="Q6" i="30" s="1"/>
  <c r="J6" i="30"/>
  <c r="I6" i="30"/>
  <c r="H6" i="30"/>
  <c r="P5" i="30"/>
  <c r="Q5" i="30" s="1"/>
  <c r="M5" i="30"/>
  <c r="I5" i="30"/>
  <c r="H5" i="30"/>
  <c r="P4" i="30"/>
  <c r="Q4" i="30" s="1"/>
  <c r="N4" i="30"/>
  <c r="J4" i="30"/>
  <c r="I4" i="30"/>
  <c r="H4" i="30"/>
  <c r="P3" i="30"/>
  <c r="Q3" i="30" s="1"/>
  <c r="N3" i="30"/>
  <c r="J3" i="30"/>
  <c r="I3" i="30"/>
  <c r="H3" i="30"/>
  <c r="N2" i="30"/>
  <c r="N23" i="30" s="1"/>
  <c r="M2" i="30"/>
  <c r="M23" i="30" s="1"/>
  <c r="L2" i="30"/>
  <c r="L23" i="30" s="1"/>
  <c r="J2" i="30"/>
  <c r="J23" i="30" s="1"/>
  <c r="L4" i="24"/>
  <c r="L5" i="24"/>
  <c r="L6" i="24"/>
  <c r="L7" i="24"/>
  <c r="L8" i="24"/>
  <c r="L9" i="24"/>
  <c r="L10" i="24"/>
  <c r="L11" i="24"/>
  <c r="L12" i="24"/>
  <c r="L13" i="24"/>
  <c r="L14" i="24"/>
  <c r="L3" i="24"/>
  <c r="L17" i="24" s="1"/>
  <c r="K4" i="24"/>
  <c r="K5" i="24"/>
  <c r="K6" i="24"/>
  <c r="K7" i="24"/>
  <c r="K8" i="24"/>
  <c r="K9" i="24"/>
  <c r="K10" i="24"/>
  <c r="K11" i="24"/>
  <c r="K12" i="24"/>
  <c r="K13" i="24"/>
  <c r="K14" i="24"/>
  <c r="K3" i="24"/>
  <c r="O8" i="24"/>
  <c r="B48" i="28"/>
  <c r="B47" i="28"/>
  <c r="B46" i="28"/>
  <c r="B45" i="28"/>
  <c r="B44" i="28"/>
  <c r="B43" i="28"/>
  <c r="B42" i="28"/>
  <c r="B41" i="28"/>
  <c r="B40" i="28"/>
  <c r="B39" i="28"/>
  <c r="B38" i="28"/>
  <c r="B37" i="28"/>
  <c r="AA32" i="28"/>
  <c r="V29" i="28"/>
  <c r="W27" i="28"/>
  <c r="X27" i="28" s="1"/>
  <c r="N27" i="28"/>
  <c r="W26" i="28"/>
  <c r="X26" i="28" s="1"/>
  <c r="N26" i="28"/>
  <c r="W25" i="28"/>
  <c r="X25" i="28" s="1"/>
  <c r="N25" i="28"/>
  <c r="W24" i="28"/>
  <c r="X24" i="28" s="1"/>
  <c r="N24" i="28"/>
  <c r="W23" i="28"/>
  <c r="X23" i="28" s="1"/>
  <c r="N23" i="28"/>
  <c r="W10" i="28"/>
  <c r="X10" i="28" s="1"/>
  <c r="N10" i="28"/>
  <c r="W9" i="28"/>
  <c r="X9" i="28" s="1"/>
  <c r="N9" i="28"/>
  <c r="W8" i="28"/>
  <c r="X8" i="28" s="1"/>
  <c r="N8" i="28"/>
  <c r="W7" i="28"/>
  <c r="X7" i="28" s="1"/>
  <c r="N7" i="28"/>
  <c r="W6" i="28"/>
  <c r="X6" i="28" s="1"/>
  <c r="N6" i="28"/>
  <c r="W5" i="28"/>
  <c r="X5" i="28" s="1"/>
  <c r="N5" i="28"/>
  <c r="W4" i="28"/>
  <c r="X4" i="28" s="1"/>
  <c r="U29" i="28"/>
  <c r="N4" i="28"/>
  <c r="L29" i="28"/>
  <c r="U2" i="28"/>
  <c r="U36" i="28" s="1"/>
  <c r="T2" i="28"/>
  <c r="T36" i="28" s="1"/>
  <c r="S2" i="28"/>
  <c r="S36" i="28" s="1"/>
  <c r="R2" i="28"/>
  <c r="R36" i="28" s="1"/>
  <c r="Q2" i="28"/>
  <c r="Q36" i="28" s="1"/>
  <c r="P2" i="28"/>
  <c r="P36" i="28" s="1"/>
  <c r="O2" i="28"/>
  <c r="O36" i="28" s="1"/>
  <c r="N2" i="28"/>
  <c r="N36" i="28" s="1"/>
  <c r="M36" i="28"/>
  <c r="L36" i="28"/>
  <c r="K2" i="28"/>
  <c r="K36" i="28" s="1"/>
  <c r="J2" i="28"/>
  <c r="J36" i="28" s="1"/>
  <c r="I36" i="28"/>
  <c r="H2" i="28"/>
  <c r="H36" i="28" s="1"/>
  <c r="G2" i="28"/>
  <c r="G36" i="28" s="1"/>
  <c r="F2" i="28"/>
  <c r="F36" i="28" s="1"/>
  <c r="E2" i="28"/>
  <c r="E36" i="28" s="1"/>
  <c r="D2" i="28"/>
  <c r="D36" i="28" s="1"/>
  <c r="C2" i="28"/>
  <c r="C36" i="28" s="1"/>
  <c r="B22" i="25"/>
  <c r="B23" i="25"/>
  <c r="B24" i="25"/>
  <c r="B25" i="25"/>
  <c r="B16" i="25"/>
  <c r="B17" i="25"/>
  <c r="B19" i="25"/>
  <c r="B20" i="25"/>
  <c r="B10" i="25"/>
  <c r="B11" i="25"/>
  <c r="P12" i="24" s="1"/>
  <c r="B9" i="25"/>
  <c r="P10" i="24" s="1"/>
  <c r="B13" i="25"/>
  <c r="B12" i="25"/>
  <c r="B3" i="25"/>
  <c r="P4" i="24" s="1"/>
  <c r="B4" i="25"/>
  <c r="B5" i="25"/>
  <c r="B6" i="25"/>
  <c r="B7" i="25"/>
  <c r="B8" i="25"/>
  <c r="B2" i="25"/>
  <c r="O4" i="24"/>
  <c r="O5" i="24"/>
  <c r="O13" i="24"/>
  <c r="O14" i="24"/>
  <c r="O2" i="24"/>
  <c r="O23" i="24" s="1"/>
  <c r="V19" i="24"/>
  <c r="R4" i="24"/>
  <c r="R5" i="24"/>
  <c r="S5" i="24" s="1"/>
  <c r="R6" i="24"/>
  <c r="S6" i="24" s="1"/>
  <c r="R7" i="24"/>
  <c r="S7" i="24" s="1"/>
  <c r="R8" i="24"/>
  <c r="S8" i="24" s="1"/>
  <c r="R9" i="24"/>
  <c r="S9" i="24" s="1"/>
  <c r="R10" i="24"/>
  <c r="S10" i="24" s="1"/>
  <c r="R11" i="24"/>
  <c r="S11" i="24" s="1"/>
  <c r="R12" i="24"/>
  <c r="S12" i="24" s="1"/>
  <c r="R13" i="24"/>
  <c r="S13" i="24" s="1"/>
  <c r="R14" i="24"/>
  <c r="S14" i="24" s="1"/>
  <c r="J32" i="24"/>
  <c r="J33" i="24"/>
  <c r="J34" i="24"/>
  <c r="J35" i="24"/>
  <c r="P5" i="24"/>
  <c r="P6" i="24"/>
  <c r="P7" i="24"/>
  <c r="P9" i="24"/>
  <c r="P13" i="24"/>
  <c r="P14" i="24"/>
  <c r="P3" i="24"/>
  <c r="P2" i="24"/>
  <c r="P23" i="24" s="1"/>
  <c r="N10" i="24"/>
  <c r="N11" i="24"/>
  <c r="N12" i="24"/>
  <c r="N13" i="24"/>
  <c r="N14" i="24"/>
  <c r="N2" i="24"/>
  <c r="N23" i="24" s="1"/>
  <c r="M23" i="24"/>
  <c r="L23" i="24"/>
  <c r="K23" i="24"/>
  <c r="J31" i="24"/>
  <c r="J30" i="24"/>
  <c r="J29" i="24"/>
  <c r="J28" i="24"/>
  <c r="J27" i="24"/>
  <c r="J26" i="24"/>
  <c r="J25" i="24"/>
  <c r="J24" i="24"/>
  <c r="Q16" i="24"/>
  <c r="N6" i="30" l="1"/>
  <c r="N8" i="30"/>
  <c r="P11" i="24"/>
  <c r="P8" i="24"/>
  <c r="N5" i="30"/>
  <c r="N26" i="30" s="1"/>
  <c r="P15" i="24"/>
  <c r="L30" i="28"/>
  <c r="L38" i="28" s="1"/>
  <c r="M7" i="30"/>
  <c r="O15" i="24"/>
  <c r="O6" i="24"/>
  <c r="M12" i="30"/>
  <c r="Q30" i="31"/>
  <c r="M3" i="30"/>
  <c r="O9" i="24"/>
  <c r="M6" i="30"/>
  <c r="O7" i="24"/>
  <c r="M9" i="30"/>
  <c r="O11" i="24"/>
  <c r="M4" i="30"/>
  <c r="M8" i="30"/>
  <c r="M14" i="30"/>
  <c r="K17" i="24"/>
  <c r="P16" i="24"/>
  <c r="N16" i="30"/>
  <c r="N31" i="30" s="1"/>
  <c r="N17" i="30"/>
  <c r="N24" i="30" s="1"/>
  <c r="H16" i="30"/>
  <c r="H24" i="30" s="1"/>
  <c r="I16" i="30"/>
  <c r="J16" i="30"/>
  <c r="H17" i="30"/>
  <c r="I17" i="30"/>
  <c r="J17" i="30"/>
  <c r="M16" i="24"/>
  <c r="M28" i="24" s="1"/>
  <c r="O10" i="24"/>
  <c r="O12" i="24"/>
  <c r="O3" i="24"/>
  <c r="D37" i="28"/>
  <c r="D40" i="28"/>
  <c r="M29" i="28"/>
  <c r="F42" i="28"/>
  <c r="M30" i="28"/>
  <c r="U30" i="28"/>
  <c r="U40" i="28" s="1"/>
  <c r="N29" i="28"/>
  <c r="N30" i="28"/>
  <c r="D38" i="28"/>
  <c r="D41" i="28"/>
  <c r="P48" i="28"/>
  <c r="P17" i="24"/>
  <c r="L16" i="24"/>
  <c r="K16" i="24"/>
  <c r="S3" i="24"/>
  <c r="D46" i="28" l="1"/>
  <c r="D43" i="28"/>
  <c r="D48" i="28"/>
  <c r="D39" i="28"/>
  <c r="R46" i="28"/>
  <c r="R39" i="28"/>
  <c r="R40" i="28"/>
  <c r="R47" i="28"/>
  <c r="R41" i="28"/>
  <c r="U41" i="28"/>
  <c r="U39" i="28"/>
  <c r="O44" i="28"/>
  <c r="U37" i="28"/>
  <c r="L42" i="28"/>
  <c r="M38" i="28"/>
  <c r="L44" i="28"/>
  <c r="L40" i="28"/>
  <c r="L47" i="28"/>
  <c r="L37" i="28"/>
  <c r="L39" i="28"/>
  <c r="U48" i="28"/>
  <c r="L48" i="28"/>
  <c r="U46" i="28"/>
  <c r="D44" i="28"/>
  <c r="R43" i="28"/>
  <c r="L45" i="28"/>
  <c r="U38" i="28"/>
  <c r="U45" i="28"/>
  <c r="M46" i="28"/>
  <c r="R44" i="28"/>
  <c r="R38" i="28"/>
  <c r="L41" i="28"/>
  <c r="U47" i="28"/>
  <c r="R42" i="28"/>
  <c r="U43" i="28"/>
  <c r="L43" i="28"/>
  <c r="D47" i="28"/>
  <c r="D42" i="28"/>
  <c r="D45" i="28"/>
  <c r="N27" i="30"/>
  <c r="U44" i="28"/>
  <c r="N32" i="30"/>
  <c r="U42" i="28"/>
  <c r="N46" i="28"/>
  <c r="M42" i="28"/>
  <c r="L46" i="28"/>
  <c r="N45" i="28"/>
  <c r="M48" i="28"/>
  <c r="N39" i="28"/>
  <c r="N40" i="28"/>
  <c r="M17" i="30"/>
  <c r="M16" i="30"/>
  <c r="M29" i="30" s="1"/>
  <c r="Q29" i="31"/>
  <c r="F47" i="28"/>
  <c r="F37" i="28"/>
  <c r="F45" i="28"/>
  <c r="F44" i="28"/>
  <c r="F46" i="28"/>
  <c r="F41" i="28"/>
  <c r="F48" i="28"/>
  <c r="P44" i="28"/>
  <c r="O43" i="28"/>
  <c r="O40" i="28"/>
  <c r="O38" i="28"/>
  <c r="R45" i="28"/>
  <c r="R48" i="28"/>
  <c r="R37" i="28"/>
  <c r="O45" i="28"/>
  <c r="O37" i="28"/>
  <c r="O48" i="28"/>
  <c r="O46" i="28"/>
  <c r="O16" i="24"/>
  <c r="H32" i="30"/>
  <c r="K17" i="30"/>
  <c r="K28" i="30" s="1"/>
  <c r="K16" i="30"/>
  <c r="I29" i="30"/>
  <c r="H31" i="30"/>
  <c r="J25" i="30"/>
  <c r="J27" i="30"/>
  <c r="J34" i="30"/>
  <c r="J32" i="30"/>
  <c r="J30" i="30"/>
  <c r="N28" i="30"/>
  <c r="N29" i="30"/>
  <c r="N30" i="30"/>
  <c r="J31" i="30"/>
  <c r="J33" i="30"/>
  <c r="J24" i="30"/>
  <c r="J28" i="30"/>
  <c r="N33" i="30"/>
  <c r="N35" i="30"/>
  <c r="J35" i="30"/>
  <c r="H35" i="30"/>
  <c r="I31" i="30"/>
  <c r="M34" i="30"/>
  <c r="H29" i="30"/>
  <c r="H25" i="30"/>
  <c r="M31" i="30"/>
  <c r="I30" i="30"/>
  <c r="H28" i="30"/>
  <c r="M25" i="30"/>
  <c r="I26" i="30"/>
  <c r="I33" i="30"/>
  <c r="H26" i="30"/>
  <c r="I35" i="30"/>
  <c r="H30" i="30"/>
  <c r="I28" i="30"/>
  <c r="M24" i="30"/>
  <c r="I24" i="30"/>
  <c r="N25" i="30"/>
  <c r="M35" i="30"/>
  <c r="N34" i="30"/>
  <c r="J29" i="30"/>
  <c r="I25" i="30"/>
  <c r="M27" i="30"/>
  <c r="I34" i="30"/>
  <c r="I27" i="30"/>
  <c r="H34" i="30"/>
  <c r="H27" i="30"/>
  <c r="M26" i="30"/>
  <c r="H33" i="30"/>
  <c r="I32" i="30"/>
  <c r="M28" i="30"/>
  <c r="K35" i="24"/>
  <c r="M26" i="24"/>
  <c r="L30" i="24"/>
  <c r="M29" i="24"/>
  <c r="O17" i="24"/>
  <c r="M40" i="28"/>
  <c r="O41" i="28"/>
  <c r="N47" i="28"/>
  <c r="P45" i="28"/>
  <c r="P39" i="28"/>
  <c r="P37" i="28"/>
  <c r="P47" i="28"/>
  <c r="P41" i="28"/>
  <c r="N44" i="28"/>
  <c r="P46" i="28"/>
  <c r="N37" i="28"/>
  <c r="N42" i="28"/>
  <c r="F39" i="28"/>
  <c r="O39" i="28"/>
  <c r="P42" i="28"/>
  <c r="P40" i="28"/>
  <c r="N48" i="28"/>
  <c r="M47" i="28"/>
  <c r="M45" i="28"/>
  <c r="M43" i="28"/>
  <c r="M41" i="28"/>
  <c r="M39" i="28"/>
  <c r="M37" i="28"/>
  <c r="F38" i="28"/>
  <c r="P38" i="28"/>
  <c r="F40" i="28"/>
  <c r="N43" i="28"/>
  <c r="N38" i="28"/>
  <c r="M44" i="28"/>
  <c r="O47" i="28"/>
  <c r="O42" i="28"/>
  <c r="N41" i="28"/>
  <c r="F43" i="28"/>
  <c r="P43" i="28"/>
  <c r="P30" i="24"/>
  <c r="P34" i="24"/>
  <c r="P33" i="24"/>
  <c r="P29" i="24"/>
  <c r="P32" i="24"/>
  <c r="L27" i="24"/>
  <c r="L35" i="24"/>
  <c r="L34" i="24"/>
  <c r="L29" i="24"/>
  <c r="L31" i="24"/>
  <c r="L28" i="24"/>
  <c r="K24" i="24"/>
  <c r="K25" i="24"/>
  <c r="K32" i="24"/>
  <c r="K26" i="24"/>
  <c r="K33" i="24"/>
  <c r="M30" i="24"/>
  <c r="M33" i="24"/>
  <c r="M24" i="24"/>
  <c r="K27" i="24"/>
  <c r="K29" i="24"/>
  <c r="K31" i="24"/>
  <c r="K28" i="24"/>
  <c r="P25" i="24"/>
  <c r="P24" i="24"/>
  <c r="P28" i="24"/>
  <c r="K34" i="24"/>
  <c r="M32" i="24"/>
  <c r="M35" i="24"/>
  <c r="P31" i="24"/>
  <c r="M25" i="24"/>
  <c r="M31" i="24"/>
  <c r="M34" i="24"/>
  <c r="P26" i="24"/>
  <c r="M27" i="24"/>
  <c r="L33" i="24"/>
  <c r="L25" i="24"/>
  <c r="L32" i="24"/>
  <c r="P35" i="24"/>
  <c r="L26" i="24"/>
  <c r="K30" i="24"/>
  <c r="L24" i="24"/>
  <c r="P27" i="24"/>
  <c r="B10" i="22"/>
  <c r="B9" i="22"/>
  <c r="Q41" i="31" l="1"/>
  <c r="Q39" i="31"/>
  <c r="Q38" i="31"/>
  <c r="Q48" i="31"/>
  <c r="Q53" i="31"/>
  <c r="Q60" i="31"/>
  <c r="Q54" i="31"/>
  <c r="Q56" i="31"/>
  <c r="Q50" i="31"/>
  <c r="Q61" i="31"/>
  <c r="Q40" i="31"/>
  <c r="Q45" i="31"/>
  <c r="Q59" i="31"/>
  <c r="Q44" i="31"/>
  <c r="Q57" i="31"/>
  <c r="Q49" i="31"/>
  <c r="Q52" i="31"/>
  <c r="Q58" i="31"/>
  <c r="Q62" i="31"/>
  <c r="Q55" i="31"/>
  <c r="Q51" i="31"/>
  <c r="Q42" i="31"/>
  <c r="Q43" i="31"/>
  <c r="Q47" i="31"/>
  <c r="Q46" i="31"/>
  <c r="T44" i="28"/>
  <c r="T37" i="28"/>
  <c r="M32" i="30"/>
  <c r="Q37" i="31"/>
  <c r="O35" i="24"/>
  <c r="M30" i="30"/>
  <c r="M33" i="30"/>
  <c r="K35" i="30"/>
  <c r="K33" i="30"/>
  <c r="K26" i="30"/>
  <c r="K34" i="30"/>
  <c r="K29" i="30"/>
  <c r="K27" i="30"/>
  <c r="K31" i="30"/>
  <c r="K30" i="30"/>
  <c r="K24" i="30"/>
  <c r="K32" i="30"/>
  <c r="K25" i="30"/>
  <c r="O25" i="24"/>
  <c r="O26" i="24"/>
  <c r="O27" i="24"/>
  <c r="O34" i="24"/>
  <c r="T48" i="28"/>
  <c r="T45" i="28"/>
  <c r="T46" i="28"/>
  <c r="O33" i="24"/>
  <c r="O29" i="24"/>
  <c r="T38" i="28"/>
  <c r="T40" i="28"/>
  <c r="T42" i="28"/>
  <c r="T39" i="28"/>
  <c r="O32" i="24"/>
  <c r="O28" i="24"/>
  <c r="O31" i="24"/>
  <c r="O24" i="24"/>
  <c r="T43" i="28"/>
  <c r="T41" i="28"/>
  <c r="T47" i="28"/>
  <c r="O30" i="24"/>
  <c r="D9" i="2"/>
  <c r="S16" i="28" s="1"/>
  <c r="D3" i="2"/>
  <c r="D4" i="2"/>
  <c r="S6" i="28" s="1"/>
  <c r="D5" i="2"/>
  <c r="S7" i="28" s="1"/>
  <c r="D6" i="2"/>
  <c r="S15" i="28" s="1"/>
  <c r="D7" i="2"/>
  <c r="S23" i="28" s="1"/>
  <c r="D8" i="2"/>
  <c r="S17" i="28" s="1"/>
  <c r="D12" i="2"/>
  <c r="S12" i="28" s="1"/>
  <c r="D13" i="2"/>
  <c r="S28" i="28" s="1"/>
  <c r="D2" i="2"/>
  <c r="C45" i="28" l="1"/>
  <c r="J29" i="28"/>
  <c r="J30" i="28"/>
  <c r="J5" i="30"/>
  <c r="J26" i="30" s="1"/>
  <c r="E43" i="28"/>
  <c r="H29" i="28"/>
  <c r="H30" i="28"/>
  <c r="C44" i="28"/>
  <c r="C38" i="28"/>
  <c r="C42" i="28"/>
  <c r="C47" i="28"/>
  <c r="C48" i="28"/>
  <c r="C37" i="28"/>
  <c r="C46" i="28"/>
  <c r="C41" i="28"/>
  <c r="C40" i="28"/>
  <c r="C39" i="28"/>
  <c r="C43" i="28"/>
  <c r="E46" i="28"/>
  <c r="E37" i="28"/>
  <c r="E42" i="28"/>
  <c r="E39" i="28"/>
  <c r="E45" i="28"/>
  <c r="E38" i="28"/>
  <c r="E40" i="28"/>
  <c r="E47" i="28"/>
  <c r="E41" i="28"/>
  <c r="E48" i="28"/>
  <c r="E44" i="28"/>
  <c r="L9" i="30"/>
  <c r="N9" i="24"/>
  <c r="L8" i="30"/>
  <c r="N8" i="24"/>
  <c r="N7" i="24"/>
  <c r="L7" i="30"/>
  <c r="L6" i="30"/>
  <c r="N6" i="24"/>
  <c r="L5" i="30"/>
  <c r="N5" i="24"/>
  <c r="N4" i="24"/>
  <c r="L4" i="30"/>
  <c r="L3" i="30"/>
  <c r="N3" i="24"/>
  <c r="D10" i="2"/>
  <c r="S24" i="28" s="1"/>
  <c r="D11" i="2"/>
  <c r="S20" i="28" s="1"/>
  <c r="J41" i="28" l="1"/>
  <c r="G45" i="28"/>
  <c r="H42" i="28"/>
  <c r="K29" i="28"/>
  <c r="K30" i="28"/>
  <c r="J40" i="28"/>
  <c r="J42" i="28"/>
  <c r="J44" i="28"/>
  <c r="J47" i="28"/>
  <c r="J43" i="28"/>
  <c r="J37" i="28"/>
  <c r="J48" i="28"/>
  <c r="J45" i="28"/>
  <c r="J38" i="28"/>
  <c r="J46" i="28"/>
  <c r="J39" i="28"/>
  <c r="G42" i="28"/>
  <c r="G41" i="28"/>
  <c r="G37" i="28"/>
  <c r="G47" i="28"/>
  <c r="G48" i="28"/>
  <c r="G38" i="28"/>
  <c r="G40" i="28"/>
  <c r="G43" i="28"/>
  <c r="G39" i="28"/>
  <c r="G46" i="28"/>
  <c r="G44" i="28"/>
  <c r="H47" i="28"/>
  <c r="H37" i="28"/>
  <c r="H45" i="28"/>
  <c r="H48" i="28"/>
  <c r="H44" i="28"/>
  <c r="H46" i="28"/>
  <c r="H41" i="28"/>
  <c r="H43" i="28"/>
  <c r="H40" i="28"/>
  <c r="H39" i="28"/>
  <c r="H38" i="28"/>
  <c r="Q45" i="28"/>
  <c r="Q37" i="28"/>
  <c r="Q41" i="28"/>
  <c r="Q47" i="28"/>
  <c r="Q48" i="28"/>
  <c r="Q38" i="28"/>
  <c r="Q42" i="28"/>
  <c r="Q39" i="28"/>
  <c r="Q40" i="28"/>
  <c r="Q43" i="28"/>
  <c r="Q44" i="28"/>
  <c r="Q46" i="28"/>
  <c r="I30" i="28"/>
  <c r="I29" i="28"/>
  <c r="P29" i="31"/>
  <c r="P30" i="31"/>
  <c r="L16" i="30"/>
  <c r="L17" i="30"/>
  <c r="N16" i="24"/>
  <c r="N17" i="24"/>
  <c r="S29" i="28"/>
  <c r="S30" i="28"/>
  <c r="P54" i="31" l="1"/>
  <c r="X20" i="31" s="1"/>
  <c r="P39" i="31"/>
  <c r="X5" i="31" s="1"/>
  <c r="P41" i="31"/>
  <c r="X7" i="31" s="1"/>
  <c r="P48" i="31"/>
  <c r="X14" i="31" s="1"/>
  <c r="P57" i="31"/>
  <c r="X23" i="31" s="1"/>
  <c r="P59" i="31"/>
  <c r="X25" i="31" s="1"/>
  <c r="P50" i="31"/>
  <c r="X16" i="31" s="1"/>
  <c r="P55" i="31"/>
  <c r="X21" i="31" s="1"/>
  <c r="P46" i="31"/>
  <c r="X12" i="31" s="1"/>
  <c r="P61" i="31"/>
  <c r="X27" i="31" s="1"/>
  <c r="P52" i="31"/>
  <c r="X18" i="31" s="1"/>
  <c r="P42" i="31"/>
  <c r="X8" i="31" s="1"/>
  <c r="P51" i="31"/>
  <c r="X17" i="31" s="1"/>
  <c r="P38" i="31"/>
  <c r="X4" i="31" s="1"/>
  <c r="P58" i="31"/>
  <c r="X24" i="31" s="1"/>
  <c r="P56" i="31"/>
  <c r="X22" i="31" s="1"/>
  <c r="P60" i="31"/>
  <c r="X26" i="31" s="1"/>
  <c r="P53" i="31"/>
  <c r="X19" i="31" s="1"/>
  <c r="P40" i="31"/>
  <c r="X6" i="31" s="1"/>
  <c r="P43" i="31"/>
  <c r="X9" i="31" s="1"/>
  <c r="P62" i="31"/>
  <c r="X28" i="31" s="1"/>
  <c r="P47" i="31"/>
  <c r="X13" i="31" s="1"/>
  <c r="P44" i="31"/>
  <c r="X10" i="31" s="1"/>
  <c r="P45" i="31"/>
  <c r="X11" i="31" s="1"/>
  <c r="P49" i="31"/>
  <c r="X15" i="31" s="1"/>
  <c r="K48" i="28"/>
  <c r="P37" i="31"/>
  <c r="X3" i="31" s="1"/>
  <c r="K41" i="28"/>
  <c r="K45" i="28"/>
  <c r="K40" i="28"/>
  <c r="K47" i="28"/>
  <c r="K46" i="28"/>
  <c r="K44" i="28"/>
  <c r="K38" i="28"/>
  <c r="K42" i="28"/>
  <c r="K37" i="28"/>
  <c r="K43" i="28"/>
  <c r="K39" i="28"/>
  <c r="I48" i="28"/>
  <c r="I38" i="28"/>
  <c r="I47" i="28"/>
  <c r="I37" i="28"/>
  <c r="I42" i="28"/>
  <c r="I41" i="28"/>
  <c r="I43" i="28"/>
  <c r="I45" i="28"/>
  <c r="I40" i="28"/>
  <c r="I39" i="28"/>
  <c r="I44" i="28"/>
  <c r="I46" i="28"/>
  <c r="L24" i="30"/>
  <c r="O24" i="30" s="1"/>
  <c r="S37" i="28"/>
  <c r="V37" i="28" s="1"/>
  <c r="N33" i="24"/>
  <c r="Q33" i="24" s="1"/>
  <c r="N34" i="24"/>
  <c r="Q34" i="24" s="1"/>
  <c r="N27" i="24"/>
  <c r="Q27" i="24" s="1"/>
  <c r="N32" i="24"/>
  <c r="Q32" i="24" s="1"/>
  <c r="N28" i="24"/>
  <c r="Q28" i="24" s="1"/>
  <c r="N35" i="24"/>
  <c r="Q35" i="24" s="1"/>
  <c r="N26" i="24"/>
  <c r="Q26" i="24" s="1"/>
  <c r="N29" i="24"/>
  <c r="Q29" i="24" s="1"/>
  <c r="N30" i="24"/>
  <c r="Q30" i="24" s="1"/>
  <c r="N25" i="24"/>
  <c r="Q25" i="24" s="1"/>
  <c r="N31" i="24"/>
  <c r="Q31" i="24" s="1"/>
  <c r="L30" i="30"/>
  <c r="O30" i="30" s="1"/>
  <c r="L31" i="30"/>
  <c r="O31" i="30" s="1"/>
  <c r="L34" i="30"/>
  <c r="O34" i="30" s="1"/>
  <c r="L33" i="30"/>
  <c r="O33" i="30" s="1"/>
  <c r="L32" i="30"/>
  <c r="O32" i="30" s="1"/>
  <c r="L27" i="30"/>
  <c r="O27" i="30" s="1"/>
  <c r="L26" i="30"/>
  <c r="O26" i="30" s="1"/>
  <c r="L28" i="30"/>
  <c r="O28" i="30" s="1"/>
  <c r="L25" i="30"/>
  <c r="O25" i="30" s="1"/>
  <c r="L29" i="30"/>
  <c r="O29" i="30" s="1"/>
  <c r="L35" i="30"/>
  <c r="O35" i="30" s="1"/>
  <c r="S47" i="28"/>
  <c r="V47" i="28" s="1"/>
  <c r="S43" i="28"/>
  <c r="V43" i="28" s="1"/>
  <c r="S48" i="28"/>
  <c r="V48" i="28" s="1"/>
  <c r="S45" i="28"/>
  <c r="V45" i="28" s="1"/>
  <c r="S46" i="28"/>
  <c r="V46" i="28" s="1"/>
  <c r="S44" i="28"/>
  <c r="V44" i="28" s="1"/>
  <c r="S42" i="28"/>
  <c r="V42" i="28" s="1"/>
  <c r="S39" i="28"/>
  <c r="V39" i="28" s="1"/>
  <c r="S41" i="28"/>
  <c r="V41" i="28" s="1"/>
  <c r="S40" i="28"/>
  <c r="V40" i="28" s="1"/>
  <c r="S38" i="28"/>
  <c r="V38" i="28" s="1"/>
  <c r="N24" i="24"/>
  <c r="Q24" i="24" s="1"/>
  <c r="Y14" i="31" l="1"/>
  <c r="Y13" i="31"/>
  <c r="Y17" i="31"/>
  <c r="Y11" i="31"/>
  <c r="Z11" i="31" s="1"/>
  <c r="Y22" i="31"/>
  <c r="Z22" i="31" s="1"/>
  <c r="Y21" i="31"/>
  <c r="Z21" i="31" s="1"/>
  <c r="Y23" i="31"/>
  <c r="Z23" i="31" s="1"/>
  <c r="Y16" i="31"/>
  <c r="Z16" i="31" s="1"/>
  <c r="Y28" i="31"/>
  <c r="Z28" i="31" s="1"/>
  <c r="Y6" i="31"/>
  <c r="Z6" i="31" s="1"/>
  <c r="Y18" i="31"/>
  <c r="Y7" i="31"/>
  <c r="Y24" i="31"/>
  <c r="Z24" i="31" s="1"/>
  <c r="Y4" i="31"/>
  <c r="Z4" i="31" s="1"/>
  <c r="Y9" i="31"/>
  <c r="Z9" i="31" s="1"/>
  <c r="Y3" i="31"/>
  <c r="Z3" i="31" s="1"/>
  <c r="Y19" i="31"/>
  <c r="Z19" i="31" s="1"/>
  <c r="Y27" i="31"/>
  <c r="Y5" i="31"/>
  <c r="Z5" i="31" s="1"/>
  <c r="Y10" i="31"/>
  <c r="Z10" i="31" s="1"/>
  <c r="Y25" i="31"/>
  <c r="Z25" i="31" s="1"/>
  <c r="Y8" i="31"/>
  <c r="Z8" i="31" s="1"/>
  <c r="Y15" i="31"/>
  <c r="Z15" i="31" s="1"/>
  <c r="Y26" i="31"/>
  <c r="Z26" i="31" s="1"/>
  <c r="Y12" i="31"/>
  <c r="Z12" i="31" s="1"/>
  <c r="Y20" i="31"/>
  <c r="Z20" i="31" s="1"/>
  <c r="Z17" i="31"/>
  <c r="Z18" i="31"/>
  <c r="Z7" i="31"/>
  <c r="Z13" i="31"/>
  <c r="Z27" i="31"/>
  <c r="Z14" i="31"/>
  <c r="Z29" i="3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<sst xmlns="http://schemas.openxmlformats.org/spreadsheetml/2006/main" count="2867" uniqueCount="694">
  <si>
    <t>Region</t>
  </si>
  <si>
    <t>Human Development Index 2022</t>
  </si>
  <si>
    <t>Somalia</t>
  </si>
  <si>
    <t>South Sudan</t>
  </si>
  <si>
    <t>Central African Republic</t>
  </si>
  <si>
    <t>Niger</t>
  </si>
  <si>
    <t>Chad</t>
  </si>
  <si>
    <t>Mali</t>
  </si>
  <si>
    <t>Burundi</t>
  </si>
  <si>
    <t>Yemen</t>
  </si>
  <si>
    <t>Burkina Faso</t>
  </si>
  <si>
    <t>Sierra Leone</t>
  </si>
  <si>
    <t>Mozambique</t>
  </si>
  <si>
    <t>Afghanistan</t>
  </si>
  <si>
    <t>Guinea</t>
  </si>
  <si>
    <t>DR Congo</t>
  </si>
  <si>
    <t>Guinea Bissau</t>
  </si>
  <si>
    <t>Madagascar</t>
  </si>
  <si>
    <t>Liberia</t>
  </si>
  <si>
    <t>Ethiopia</t>
  </si>
  <si>
    <t>Eritrea</t>
  </si>
  <si>
    <t>Gambia</t>
  </si>
  <si>
    <t>Benin</t>
  </si>
  <si>
    <t>Malawi</t>
  </si>
  <si>
    <t>Djibouti</t>
  </si>
  <si>
    <t>Sudan</t>
  </si>
  <si>
    <t>Senegal</t>
  </si>
  <si>
    <t>Lesotho</t>
  </si>
  <si>
    <t>Tanzania</t>
  </si>
  <si>
    <t>Ivory Coast</t>
  </si>
  <si>
    <t>Pakistan</t>
  </si>
  <si>
    <t>Mauritania</t>
  </si>
  <si>
    <t>Togo</t>
  </si>
  <si>
    <t>Nigeria</t>
  </si>
  <si>
    <t>Rwanda</t>
  </si>
  <si>
    <t>Zimbabwe</t>
  </si>
  <si>
    <t>Uganda</t>
  </si>
  <si>
    <t>Haiti</t>
  </si>
  <si>
    <t>Syria</t>
  </si>
  <si>
    <t>Solomon Islands</t>
  </si>
  <si>
    <t>Timor Leste</t>
  </si>
  <si>
    <t>Papua New Guinea</t>
  </si>
  <si>
    <t>Zambia</t>
  </si>
  <si>
    <t>Comoros</t>
  </si>
  <si>
    <t>Cameroon</t>
  </si>
  <si>
    <t>Angola</t>
  </si>
  <si>
    <t>Republic of the Congo</t>
  </si>
  <si>
    <t>Cambodia</t>
  </si>
  <si>
    <t>Nepal</t>
  </si>
  <si>
    <t>Kenya</t>
  </si>
  <si>
    <t>Ghana</t>
  </si>
  <si>
    <t>Myanmar</t>
  </si>
  <si>
    <t>Eswatini</t>
  </si>
  <si>
    <t>Namibia</t>
  </si>
  <si>
    <t>Sao Tome and Principe</t>
  </si>
  <si>
    <t>Vanuatu</t>
  </si>
  <si>
    <t>Laos</t>
  </si>
  <si>
    <t>Honduras</t>
  </si>
  <si>
    <t>Kiribati</t>
  </si>
  <si>
    <t>Guatemala</t>
  </si>
  <si>
    <t>Micronesia</t>
  </si>
  <si>
    <t>India</t>
  </si>
  <si>
    <t>Equatorial Guinea</t>
  </si>
  <si>
    <t>Tuvalu</t>
  </si>
  <si>
    <t>Cape Verde</t>
  </si>
  <si>
    <t>Nicaragua</t>
  </si>
  <si>
    <t>Bangladesh</t>
  </si>
  <si>
    <t>Iraq</t>
  </si>
  <si>
    <t>El Salvador</t>
  </si>
  <si>
    <t>Tajikistan</t>
  </si>
  <si>
    <t>Bhutan</t>
  </si>
  <si>
    <t>Suriname</t>
  </si>
  <si>
    <t>Gabon</t>
  </si>
  <si>
    <t>Nauru</t>
  </si>
  <si>
    <t>Morocco</t>
  </si>
  <si>
    <t>Bolivia</t>
  </si>
  <si>
    <t>Venezuela</t>
  </si>
  <si>
    <t>Belize</t>
  </si>
  <si>
    <t>Kyrgyzstan</t>
  </si>
  <si>
    <t>Samoa</t>
  </si>
  <si>
    <t>Jamaica</t>
  </si>
  <si>
    <t>Botswana</t>
  </si>
  <si>
    <t>Philippines</t>
  </si>
  <si>
    <t>Indonesia</t>
  </si>
  <si>
    <t>Palestine</t>
  </si>
  <si>
    <t>South Africa</t>
  </si>
  <si>
    <t>Lebanon</t>
  </si>
  <si>
    <t>Saint Lucia</t>
  </si>
  <si>
    <t>Vietnam</t>
  </si>
  <si>
    <t>Uzbekistan</t>
  </si>
  <si>
    <t>Egypt</t>
  </si>
  <si>
    <t>Fiji</t>
  </si>
  <si>
    <t>Paraguay</t>
  </si>
  <si>
    <t>Marshall Islands</t>
  </si>
  <si>
    <t>Tunisia</t>
  </si>
  <si>
    <t>Ukraine</t>
  </si>
  <si>
    <t>Jordan</t>
  </si>
  <si>
    <t>Tonga</t>
  </si>
  <si>
    <t>Dominica</t>
  </si>
  <si>
    <t>Mongolia</t>
  </si>
  <si>
    <t>Guyana</t>
  </si>
  <si>
    <t>Turkmenistan</t>
  </si>
  <si>
    <t>Algeria</t>
  </si>
  <si>
    <t>Libya</t>
  </si>
  <si>
    <t>Colombia</t>
  </si>
  <si>
    <t>Azerbaijan</t>
  </si>
  <si>
    <t>Brazil</t>
  </si>
  <si>
    <t>Peru</t>
  </si>
  <si>
    <t>Maldives</t>
  </si>
  <si>
    <t>Moldova</t>
  </si>
  <si>
    <t>Cuba</t>
  </si>
  <si>
    <t>North Macedonia</t>
  </si>
  <si>
    <t>Ecuador</t>
  </si>
  <si>
    <t>Dominican Republic</t>
  </si>
  <si>
    <t>Saint Vincent and the Grenadines</t>
  </si>
  <si>
    <t>Bosnia and Herzegovina</t>
  </si>
  <si>
    <t>Sri Lanka</t>
  </si>
  <si>
    <t>Iran</t>
  </si>
  <si>
    <t>Mexico</t>
  </si>
  <si>
    <t>Armenia</t>
  </si>
  <si>
    <t>China</t>
  </si>
  <si>
    <t>Albania</t>
  </si>
  <si>
    <t>Grenada</t>
  </si>
  <si>
    <t>Mauritius</t>
  </si>
  <si>
    <t>Palau</t>
  </si>
  <si>
    <t>Bulgaria</t>
  </si>
  <si>
    <t>Belarus</t>
  </si>
  <si>
    <t>Seychelles</t>
  </si>
  <si>
    <t>Kazakhstan</t>
  </si>
  <si>
    <t>Thailand</t>
  </si>
  <si>
    <t>Serbia</t>
  </si>
  <si>
    <t>Costa Rica</t>
  </si>
  <si>
    <t>Malaysia</t>
  </si>
  <si>
    <t>Barbados</t>
  </si>
  <si>
    <t>Georgia</t>
  </si>
  <si>
    <t>Trinidad and Tobago</t>
  </si>
  <si>
    <t>Oman</t>
  </si>
  <si>
    <t>Panama</t>
  </si>
  <si>
    <t>Bahamas</t>
  </si>
  <si>
    <t>Russia</t>
  </si>
  <si>
    <t>Brunei</t>
  </si>
  <si>
    <t>Antigua and Barbuda</t>
  </si>
  <si>
    <t>Romania</t>
  </si>
  <si>
    <t>Uruguay</t>
  </si>
  <si>
    <t>Saint Kitts and Nevis</t>
  </si>
  <si>
    <t>Montenegro</t>
  </si>
  <si>
    <t>Kuwait</t>
  </si>
  <si>
    <t>Argentina</t>
  </si>
  <si>
    <t>Hungary</t>
  </si>
  <si>
    <t>Turkey</t>
  </si>
  <si>
    <t>Slovakia</t>
  </si>
  <si>
    <t>Chile</t>
  </si>
  <si>
    <t>San Marino</t>
  </si>
  <si>
    <t>Portugal</t>
  </si>
  <si>
    <t>Qatar</t>
  </si>
  <si>
    <t>Saudi Arabia</t>
  </si>
  <si>
    <t>Croatia</t>
  </si>
  <si>
    <t>Lithuania</t>
  </si>
  <si>
    <t>Latvia</t>
  </si>
  <si>
    <t>Poland</t>
  </si>
  <si>
    <t>Andorra</t>
  </si>
  <si>
    <t>Bahrain</t>
  </si>
  <si>
    <t>Greece</t>
  </si>
  <si>
    <t>Czech Republic</t>
  </si>
  <si>
    <t>Estonia</t>
  </si>
  <si>
    <t>Italy</t>
  </si>
  <si>
    <t>Cyprus</t>
  </si>
  <si>
    <t>France</t>
  </si>
  <si>
    <t>Spain</t>
  </si>
  <si>
    <t>Malta</t>
  </si>
  <si>
    <t>Israel</t>
  </si>
  <si>
    <t>Japan</t>
  </si>
  <si>
    <t>Austria</t>
  </si>
  <si>
    <t>Slovenia</t>
  </si>
  <si>
    <t>Luxembourg</t>
  </si>
  <si>
    <t>United States</t>
  </si>
  <si>
    <t>South Korea</t>
  </si>
  <si>
    <t>Canada</t>
  </si>
  <si>
    <t>United Arab Emirates</t>
  </si>
  <si>
    <t>New Zealand</t>
  </si>
  <si>
    <t>United Kingdom</t>
  </si>
  <si>
    <t>Liechtenstein</t>
  </si>
  <si>
    <t>Finland</t>
  </si>
  <si>
    <t>Belgium</t>
  </si>
  <si>
    <t>Netherlands</t>
  </si>
  <si>
    <t>Australia</t>
  </si>
  <si>
    <t>Singapore</t>
  </si>
  <si>
    <t>Germany</t>
  </si>
  <si>
    <t>Ireland</t>
  </si>
  <si>
    <t>Sweden</t>
  </si>
  <si>
    <t>Denmark</t>
  </si>
  <si>
    <t>Hong Kong</t>
  </si>
  <si>
    <t>Iceland</t>
  </si>
  <si>
    <t>Norway</t>
  </si>
  <si>
    <t>Switzerland</t>
  </si>
  <si>
    <t>Household disposable income</t>
  </si>
  <si>
    <t>US dollars/capita, 2023</t>
  </si>
  <si>
    <t>Category</t>
  </si>
  <si>
    <t>Gross disposable income per capita of households and NPISH</t>
  </si>
  <si>
    <t>https://www.oecd.org/en/data/indicators/household-disposable-income.html?oecdcontrol-3fafbcc227-var1=USA%7CGBR%7CDEU%7CFRA%7CESP%7CITA%7CCAN%7CAUS%7CNZL%7CBEL%7CLUX%7CNLD%7CDNK%7CFIN%7CIRL%7CNOR%7CSWE%7CCHE%7CAUT</t>
  </si>
  <si>
    <t xml:space="preserve">Outputs </t>
  </si>
  <si>
    <t>%</t>
  </si>
  <si>
    <t>Audience Ratio to Departure</t>
  </si>
  <si>
    <t>Audience(m)</t>
  </si>
  <si>
    <t>SV - Flights to Ireland</t>
  </si>
  <si>
    <t>SV - Flights to Dublin</t>
  </si>
  <si>
    <t>SV - Flights to Cork</t>
  </si>
  <si>
    <t>SV - Flights to Belfast</t>
  </si>
  <si>
    <t>Population</t>
  </si>
  <si>
    <t>Tourist Departures</t>
  </si>
  <si>
    <t>Trips(000s)</t>
  </si>
  <si>
    <t>Spend(m-euro)</t>
  </si>
  <si>
    <t>Country</t>
  </si>
  <si>
    <t>Spends Per Trip</t>
  </si>
  <si>
    <t>Tourist Departures / Population</t>
  </si>
  <si>
    <t>SV - All</t>
  </si>
  <si>
    <t>Market Tiering</t>
  </si>
  <si>
    <t xml:space="preserve">Weighted Score </t>
  </si>
  <si>
    <t>Budget Split</t>
  </si>
  <si>
    <t>Market</t>
  </si>
  <si>
    <t>Current Budget</t>
  </si>
  <si>
    <t>Recommended Budget</t>
  </si>
  <si>
    <t>AUS / NZ</t>
  </si>
  <si>
    <t>BeNe</t>
  </si>
  <si>
    <t>Nordics</t>
  </si>
  <si>
    <t>Avg</t>
  </si>
  <si>
    <t>St Dv</t>
  </si>
  <si>
    <t xml:space="preserve">Weight </t>
  </si>
  <si>
    <t>Weighted Score</t>
  </si>
  <si>
    <t>USA</t>
  </si>
  <si>
    <t>UK</t>
  </si>
  <si>
    <t>€6,800,00</t>
  </si>
  <si>
    <t>Australia/New Zealand</t>
  </si>
  <si>
    <t>Great Britain</t>
  </si>
  <si>
    <t>x</t>
  </si>
  <si>
    <t>spends per trip</t>
  </si>
  <si>
    <t>update this</t>
  </si>
  <si>
    <t>departure / population</t>
  </si>
  <si>
    <t>SV - Flights to</t>
  </si>
  <si>
    <t>Source</t>
  </si>
  <si>
    <t>Disposable Personal Income (USD)</t>
  </si>
  <si>
    <t>https://en.wikipedia.org/wiki/Disposable_household_and_per_capita_income</t>
  </si>
  <si>
    <t>https://ourworldindata.org/grapher/international-tourist-departures?tab=table&amp;time=2021..latest</t>
  </si>
  <si>
    <t>https://www.ons.gov.uk/peoplepopulationandcommunity/leisureandtourism/articles/traveltrends/2023</t>
  </si>
  <si>
    <t>https://camperchamp.com.au/statistics/australia/?</t>
  </si>
  <si>
    <t>Entity</t>
  </si>
  <si>
    <t>International tourist departures</t>
  </si>
  <si>
    <t>Cook Islands</t>
  </si>
  <si>
    <t>Czechia</t>
  </si>
  <si>
    <t>New Caledonia</t>
  </si>
  <si>
    <t>Puerto Rico</t>
  </si>
  <si>
    <t>Hourly Minimum Wage</t>
  </si>
  <si>
    <t>https://www.datapandas.org/ranking/minimum-wage-by-country</t>
  </si>
  <si>
    <t>https://www.aboutswitzerland.eda.admin.ch/en/labour-market</t>
  </si>
  <si>
    <t>https://joinhorizons.com/countries/italy/hiring-employees/minimum-wage/</t>
  </si>
  <si>
    <t>https://www.investopedia.com/articles/investing/080515/5-developed-countries-without-minimum-wages.asp?utm_source=chatgpt.com</t>
  </si>
  <si>
    <t>NoofMillionaires</t>
  </si>
  <si>
    <t>https://www.datapandas.org/ranking/millionaires-by-country</t>
  </si>
  <si>
    <t>Inflation Rate</t>
  </si>
  <si>
    <t>https://www.theglobaleconomy.com/rankings/inflation/</t>
  </si>
  <si>
    <t>NoOfMillionaires</t>
  </si>
  <si>
    <t>Taiwan</t>
  </si>
  <si>
    <t>Population(m)</t>
  </si>
  <si>
    <t>https://www.theglobaleconomy.com/rankings/population_size/</t>
  </si>
  <si>
    <t>Google Ad Words</t>
  </si>
  <si>
    <t>HDI</t>
  </si>
  <si>
    <t>https://www.datapandas.org/ranking/hdi-by-country?</t>
  </si>
  <si>
    <t>GDP Per Capita</t>
  </si>
  <si>
    <t>https://www.datapandas.org/ranking/gdp-per-capita-by-country</t>
  </si>
  <si>
    <t>Median Annual Salary (USD)</t>
  </si>
  <si>
    <t>https://www.datapandas.org/ranking/median-income-by-country?</t>
  </si>
  <si>
    <t>Countries </t>
  </si>
  <si>
    <t>Population size, 2023 </t>
  </si>
  <si>
    <t>Burma</t>
  </si>
  <si>
    <t>North Korea</t>
  </si>
  <si>
    <t>Domin. Rep.</t>
  </si>
  <si>
    <t>Papua N.G.</t>
  </si>
  <si>
    <t>UA Emirates</t>
  </si>
  <si>
    <t>R. of Congo</t>
  </si>
  <si>
    <t>C.A. Republic</t>
  </si>
  <si>
    <t>Bosnia &amp; Herz.</t>
  </si>
  <si>
    <t>G.-Bissau</t>
  </si>
  <si>
    <t>Eq. Guinea</t>
  </si>
  <si>
    <t>Tr.&amp;Tobago</t>
  </si>
  <si>
    <t>Swaziland</t>
  </si>
  <si>
    <t>Solomon Isl.</t>
  </si>
  <si>
    <t>Macao</t>
  </si>
  <si>
    <t>N. Caledonia</t>
  </si>
  <si>
    <t>S.T.&amp;Principe</t>
  </si>
  <si>
    <t>Aruba</t>
  </si>
  <si>
    <t>St. Vincent &amp; ...</t>
  </si>
  <si>
    <t>Ant.&amp; Barb.</t>
  </si>
  <si>
    <t>Bermuda</t>
  </si>
  <si>
    <t>Faroe Isl.</t>
  </si>
  <si>
    <t>Monaco</t>
  </si>
  <si>
    <t>Gibraltar</t>
  </si>
  <si>
    <t>GDP - 2024</t>
  </si>
  <si>
    <t>GDP - Growth</t>
  </si>
  <si>
    <t>Media Cost</t>
  </si>
  <si>
    <t>Title</t>
  </si>
  <si>
    <t>CPM by Market</t>
  </si>
  <si>
    <t>MARKET</t>
  </si>
  <si>
    <t>Free TV</t>
  </si>
  <si>
    <t>Pay TV</t>
  </si>
  <si>
    <t>Video</t>
  </si>
  <si>
    <t>Display</t>
  </si>
  <si>
    <t>News.</t>
  </si>
  <si>
    <t>Mags.</t>
  </si>
  <si>
    <t>Radio</t>
  </si>
  <si>
    <t>OOH</t>
  </si>
  <si>
    <t>Total Traditional</t>
  </si>
  <si>
    <t>All Media Average</t>
  </si>
  <si>
    <t>World</t>
  </si>
  <si>
    <t>-</t>
  </si>
  <si>
    <t>APAC</t>
  </si>
  <si>
    <t>EMEA</t>
  </si>
  <si>
    <t>Latin America</t>
  </si>
  <si>
    <t>North America</t>
  </si>
  <si>
    <t>Western Europe</t>
  </si>
  <si>
    <t>Central &amp; Eastern Europe</t>
  </si>
  <si>
    <t>Czech</t>
  </si>
  <si>
    <t>Inflation, 2023 </t>
  </si>
  <si>
    <t>UAE</t>
  </si>
  <si>
    <t>Khazakstan</t>
  </si>
  <si>
    <t>GDP - 2025</t>
  </si>
  <si>
    <t>Download data from our database</t>
  </si>
  <si>
    <t>SV -Abu Dhabi</t>
  </si>
  <si>
    <t>SV - Flights to Abu Dhabi</t>
  </si>
  <si>
    <t>SENTIMENT</t>
  </si>
  <si>
    <t xml:space="preserve">EXPLANATION </t>
  </si>
  <si>
    <t>PERCEPTION</t>
  </si>
  <si>
    <t>KSA</t>
  </si>
  <si>
    <t>What is it?</t>
  </si>
  <si>
    <t>Warmth, safety perception, brand trust
SIGNALS - Safety rankings, regional ties, media tone, social/ cultural alignment</t>
  </si>
  <si>
    <t>Awareness, familiarit, clarity
SIGNALS - Global indices, brand distinctiveness, country rankings</t>
  </si>
  <si>
    <t>High emotional connection and brand pride as the home market.</t>
  </si>
  <si>
    <t>Strong cultural and lifestyle alignment drives emotional warmth.</t>
  </si>
  <si>
    <t>Regional familiarity and repeat travel build strong emotional affinity.</t>
  </si>
  <si>
    <t>Positive sentiment fueled by safety perception and diaspora links.</t>
  </si>
  <si>
    <t>Strong emotional response due to perceived safety and cultural appeal.</t>
  </si>
  <si>
    <t>Trust and cultural appreciation drive solid emotional sentiment.</t>
  </si>
  <si>
    <t>Prestige and innovation appeal support positive associations.</t>
  </si>
  <si>
    <t>Cultural partnership helps sentiment among affluent travelers.</t>
  </si>
  <si>
    <t>Historical interest supports residual positive emotion.</t>
  </si>
  <si>
    <t>Luxury and cultural appeal evoke moderate sentiment in niches.</t>
  </si>
  <si>
    <t>Positive among exposed audiences, but limited emotional connection overall.</t>
  </si>
  <si>
    <t>Complete awareness and clarity of positioning as the capital.</t>
  </si>
  <si>
    <t>Abu Dhabi is well understood and clearly positioned vs. Dubai.</t>
  </si>
  <si>
    <t>Frequent visitation builds high familiarity and brand understanding.</t>
  </si>
  <si>
    <t>General awareness is strong but full brand image still forming.</t>
  </si>
  <si>
    <t>Brand is growing with high-profile assets like Louvre and F1.</t>
  </si>
  <si>
    <t>Moderate familiarity, with a clear image among culture-seekers.</t>
  </si>
  <si>
    <t>Recognized by affluent segments but broader familiarity is limited.</t>
  </si>
  <si>
    <t>Awareness exists but brand meaning still developing beyond Louvre.</t>
  </si>
  <si>
    <t>Perception is slightly fading due to decreased visibility.</t>
  </si>
  <si>
    <t>Limited brand distinction from Dubai; low general awareness.</t>
  </si>
  <si>
    <t>Recognition remains low despite event exposure and media efforts.</t>
  </si>
  <si>
    <t>23SV -Abu Dhabi</t>
  </si>
  <si>
    <t>23SV - Flights to Abu Dhabi</t>
  </si>
  <si>
    <t>SV - Flights to AD</t>
  </si>
  <si>
    <t>SV -AD</t>
  </si>
  <si>
    <t>SV - AD 23</t>
  </si>
  <si>
    <t>SV - Flights to AD 23</t>
  </si>
  <si>
    <t>Abu Dhabi - Keywords</t>
  </si>
  <si>
    <t>United States - Flights</t>
  </si>
  <si>
    <t>United Kingdon - Flights</t>
  </si>
  <si>
    <t>Germany - Flights</t>
  </si>
  <si>
    <t>France - Flights</t>
  </si>
  <si>
    <t>Spain - Flight</t>
  </si>
  <si>
    <t>Italy - Flight</t>
  </si>
  <si>
    <t>Canada - Flight</t>
  </si>
  <si>
    <t>Australia - Flight</t>
  </si>
  <si>
    <t>New Zealand - Flight</t>
  </si>
  <si>
    <t>Belgium - Flight</t>
  </si>
  <si>
    <t>Netherlands - Flight</t>
  </si>
  <si>
    <t>Luxemburg - Flight</t>
  </si>
  <si>
    <t>Denmark - Flight</t>
  </si>
  <si>
    <t>Finland - Flight</t>
  </si>
  <si>
    <t>Iceland - Flight</t>
  </si>
  <si>
    <t>Norway - Flight</t>
  </si>
  <si>
    <t>Sweden - Flight</t>
  </si>
  <si>
    <t>India - Flight</t>
  </si>
  <si>
    <t>UAE - Flight</t>
  </si>
  <si>
    <t>China - Flight</t>
  </si>
  <si>
    <t>Saudi Arabia - Flight</t>
  </si>
  <si>
    <t>Russia - Flight</t>
  </si>
  <si>
    <t>Kuwait - Flight</t>
  </si>
  <si>
    <t>Egypt - flight</t>
  </si>
  <si>
    <t>kazakhstan - Flight</t>
  </si>
  <si>
    <t>Bahrain - Flight</t>
  </si>
  <si>
    <t>Qatar - Flight</t>
  </si>
  <si>
    <t>Romania - Flight</t>
  </si>
  <si>
    <t>Oman - Flight</t>
  </si>
  <si>
    <t>Japan - Flight</t>
  </si>
  <si>
    <t>Uzbekistan - Flight</t>
  </si>
  <si>
    <t>South Korea - Flight</t>
  </si>
  <si>
    <t>Armenia - Flight</t>
  </si>
  <si>
    <t>Poland - Flight</t>
  </si>
  <si>
    <t>sheikh zayed grand mosque</t>
  </si>
  <si>
    <t>flights from US to uae</t>
  </si>
  <si>
    <t>flights from london to abu dhabi</t>
  </si>
  <si>
    <t>flights from germany to abu dhabi</t>
  </si>
  <si>
    <t>flight from france to uae</t>
  </si>
  <si>
    <t>flight from spain to uae</t>
  </si>
  <si>
    <t>flight from italy to uae</t>
  </si>
  <si>
    <t>flight from canada to uae</t>
  </si>
  <si>
    <t>flight from australia to uae</t>
  </si>
  <si>
    <t>flight from new zealand to abu dhabi</t>
  </si>
  <si>
    <t>flight from belgium to abu dhabi</t>
  </si>
  <si>
    <t>flight from netherlands to abu dhabi</t>
  </si>
  <si>
    <t>flight from luxemburg to abu dhabi</t>
  </si>
  <si>
    <t>flight from denmark to abu dhabi</t>
  </si>
  <si>
    <t>flight from finland to abu dhabi</t>
  </si>
  <si>
    <t>flight from iceland to abu dhabi</t>
  </si>
  <si>
    <t>flight from norway to abu dhabi</t>
  </si>
  <si>
    <t>flight from sweden to abu dhabi</t>
  </si>
  <si>
    <t>flight from india to abu dhabi</t>
  </si>
  <si>
    <t>flights to abu dhabi</t>
  </si>
  <si>
    <t>abu dhabi mosque</t>
  </si>
  <si>
    <t>flight from US to abu dhabi</t>
  </si>
  <si>
    <t>flights from heathrow to abu dhabi</t>
  </si>
  <si>
    <t>flights from berlin to abu dhabi</t>
  </si>
  <si>
    <t>flight from france to abu dhabi</t>
  </si>
  <si>
    <t>flight from spain to abu dhabi</t>
  </si>
  <si>
    <t>flight from italy to abu dhabi</t>
  </si>
  <si>
    <t>flight from canada to abu dhabi</t>
  </si>
  <si>
    <t>flight from australia to abu dhabi</t>
  </si>
  <si>
    <t>flight from new zealand to uae</t>
  </si>
  <si>
    <t>flight from belgium to uae</t>
  </si>
  <si>
    <t>flight from netherlands to uae</t>
  </si>
  <si>
    <t>flight from luxemburg to uae</t>
  </si>
  <si>
    <t>flight from denmark to uae</t>
  </si>
  <si>
    <t>flight from finland to uae</t>
  </si>
  <si>
    <t>flight from iceland to uae</t>
  </si>
  <si>
    <t>flight from norway to uae</t>
  </si>
  <si>
    <t>flight from sweden to uae</t>
  </si>
  <si>
    <t>flight from india to uae</t>
  </si>
  <si>
    <t>abu dhabi flights</t>
  </si>
  <si>
    <t>abu dhabi grand mosque</t>
  </si>
  <si>
    <t>flight from USA to uae</t>
  </si>
  <si>
    <t>flights from stansted to abu dhabi</t>
  </si>
  <si>
    <t>flights from frankfurt to abu dhabi</t>
  </si>
  <si>
    <t>flight from paris to abu dhabi</t>
  </si>
  <si>
    <t>flight from barcelona to abu dhabi</t>
  </si>
  <si>
    <t>flight from rome to abu dhabi</t>
  </si>
  <si>
    <t>flight from vancouver to abu dhabi</t>
  </si>
  <si>
    <t>flight from sydney to abu dhabi</t>
  </si>
  <si>
    <t>flight from nz to abu dhabi</t>
  </si>
  <si>
    <t>flight from brussels to abu dhabi</t>
  </si>
  <si>
    <t>flight from amsterdam to abu dhabi</t>
  </si>
  <si>
    <t>flight from copenhagen to abu dhabi</t>
  </si>
  <si>
    <t>flight from helsinki to abu dhabi</t>
  </si>
  <si>
    <t>flight from reykjavik to abu dhabi</t>
  </si>
  <si>
    <t>flight from oslo to abu dhabi</t>
  </si>
  <si>
    <t>flight from stockholm to abu dhabi</t>
  </si>
  <si>
    <t>flight from mumbai to abu dhabi</t>
  </si>
  <si>
    <t>abu dhabi flight</t>
  </si>
  <si>
    <t>palace abu dhabi</t>
  </si>
  <si>
    <t>flight from USA to abu dhabi</t>
  </si>
  <si>
    <t>flights from gatwick to abu dhabi</t>
  </si>
  <si>
    <t>fights from munich to abu dhabi</t>
  </si>
  <si>
    <t>flight from madrid to abu dhabi</t>
  </si>
  <si>
    <t>flight from milan to abu dhabi</t>
  </si>
  <si>
    <t>flight from montreal to abu dhabi</t>
  </si>
  <si>
    <t>flight from melbourne to abu dhabi</t>
  </si>
  <si>
    <t>flight from wellington to abu dhabi</t>
  </si>
  <si>
    <t>flight from hyderabad to abu dhabi</t>
  </si>
  <si>
    <t>flight abu dhabi</t>
  </si>
  <si>
    <t xml:space="preserve">qasr al watan </t>
  </si>
  <si>
    <t>flight from new york to abu dhabi</t>
  </si>
  <si>
    <t>flights from manchester to abu dhabi</t>
  </si>
  <si>
    <t>flight from germany to uae</t>
  </si>
  <si>
    <t>flight from florence to abu dhabi</t>
  </si>
  <si>
    <t>flight from toronto to abu dhabi</t>
  </si>
  <si>
    <t>flight from perth to abu dhabi</t>
  </si>
  <si>
    <t>flight from auckland to abu dhabi</t>
  </si>
  <si>
    <t>flight from pune to abu dhabi</t>
  </si>
  <si>
    <t>etihad flights to abu dhabi</t>
  </si>
  <si>
    <t>qasr al watan abu dhabi</t>
  </si>
  <si>
    <t>flight from newark to abu dhabi</t>
  </si>
  <si>
    <t>flights from uk to abu dhabi</t>
  </si>
  <si>
    <t>flight from brisbane to abu dhabi</t>
  </si>
  <si>
    <t>flight from christchurch to abu dhabi</t>
  </si>
  <si>
    <t>low cost flights to abu dhabi</t>
  </si>
  <si>
    <t>heritage village abu dhabi</t>
  </si>
  <si>
    <t>flight from jfk to abu dhabi</t>
  </si>
  <si>
    <t>flights from glascow to abu dhabi</t>
  </si>
  <si>
    <t>flight from queenstown to abu dhabi</t>
  </si>
  <si>
    <t>flight from chennai to abu dhabi</t>
  </si>
  <si>
    <t>british airways flights to abu dhabi</t>
  </si>
  <si>
    <t>al jahili fort</t>
  </si>
  <si>
    <t>flight from atlanta to abu dhabi</t>
  </si>
  <si>
    <t>flights from edinburgh to abu dhabi</t>
  </si>
  <si>
    <t>flight from jaipur to abu dhabi</t>
  </si>
  <si>
    <t>turkish airlines flight to abu dhabi</t>
  </si>
  <si>
    <t>al jahili fort abu dhabi</t>
  </si>
  <si>
    <t>flight from la to abu dhabi</t>
  </si>
  <si>
    <t>flight from uk to uae</t>
  </si>
  <si>
    <t>flight from kolakata to abu dhabi</t>
  </si>
  <si>
    <t>air arabia flights to abu dhabi</t>
  </si>
  <si>
    <t>ferrari world abu dhabi</t>
  </si>
  <si>
    <t>flight from los angeles to abu dhabi</t>
  </si>
  <si>
    <t>qatar airways flights to abu dhabi</t>
  </si>
  <si>
    <t>warner bros world abu dhabi</t>
  </si>
  <si>
    <t>flight from miami to abu dhabi</t>
  </si>
  <si>
    <t>singapore airlines flight to abu dhabi</t>
  </si>
  <si>
    <t>warner bros abu dhabi</t>
  </si>
  <si>
    <t>flight from san fransisco to abu dhabi</t>
  </si>
  <si>
    <t>japan airlines flight to abu dhabi</t>
  </si>
  <si>
    <t>warner bros theme park abu dhabi</t>
  </si>
  <si>
    <t>flight from seattle to abu dhabi</t>
  </si>
  <si>
    <t>finnair flight to abu dhabi</t>
  </si>
  <si>
    <t>yas waterworld</t>
  </si>
  <si>
    <t>flight from dallas to abu dhabi</t>
  </si>
  <si>
    <t>air baltic flight to abu dhabi</t>
  </si>
  <si>
    <t>yas waterworld abu dhabi</t>
  </si>
  <si>
    <t>saudia flight to abu dhabi</t>
  </si>
  <si>
    <t>yas island</t>
  </si>
  <si>
    <t>klm flight to abu dhabi</t>
  </si>
  <si>
    <t>yas island abu dhabi</t>
  </si>
  <si>
    <t>swiss air flight to abu dhabi</t>
  </si>
  <si>
    <t>seaworld abu dhabi</t>
  </si>
  <si>
    <t>air france flight to abu dhabi</t>
  </si>
  <si>
    <t>corniche beach</t>
  </si>
  <si>
    <t>air india flight to abu dhabi</t>
  </si>
  <si>
    <t>flight from south korea to uae</t>
  </si>
  <si>
    <t>corniche beach abu dhabi</t>
  </si>
  <si>
    <t>china flight to uae</t>
  </si>
  <si>
    <t>flight from saudi to uae</t>
  </si>
  <si>
    <t>flight from russia to abu dhabi</t>
  </si>
  <si>
    <t>flight from kuwait to uae</t>
  </si>
  <si>
    <t>flight from egypt to uae</t>
  </si>
  <si>
    <t>flight from kazakhstan to abu dhabi</t>
  </si>
  <si>
    <t>flight from bahrain to uae</t>
  </si>
  <si>
    <t>flight from qatar to uae</t>
  </si>
  <si>
    <t>flight from romania to uae</t>
  </si>
  <si>
    <t>flight from oman to uae</t>
  </si>
  <si>
    <t>flight from japan to uae</t>
  </si>
  <si>
    <t>flight from uzbekistan to uae</t>
  </si>
  <si>
    <t>flight from south korea to abu dhabi</t>
  </si>
  <si>
    <t>flight from armenia to abu dhabi</t>
  </si>
  <si>
    <t>flights from poland to uae</t>
  </si>
  <si>
    <t>jebel hafeet</t>
  </si>
  <si>
    <t>flight from china to uae</t>
  </si>
  <si>
    <t>flight from saudi to abu dhabi</t>
  </si>
  <si>
    <t>flight from russia to uae</t>
  </si>
  <si>
    <t>flight from kuwait to abu dhabi</t>
  </si>
  <si>
    <t>flight from egypt to abu dhabi</t>
  </si>
  <si>
    <t>flight from kazakhstan to uae</t>
  </si>
  <si>
    <t>flight from bahrain to abu dhabi</t>
  </si>
  <si>
    <t>flight from qatar to abu dhabi</t>
  </si>
  <si>
    <t>flight from romania to abu dhabi</t>
  </si>
  <si>
    <t>flight from oman to abu dhabi</t>
  </si>
  <si>
    <t>flight from japan to abu dhabi</t>
  </si>
  <si>
    <t>flight from uzbekistan to abu dhabi</t>
  </si>
  <si>
    <t>flight from seoul to abu dhabi</t>
  </si>
  <si>
    <t>flight from armenia to uae</t>
  </si>
  <si>
    <t>flights from poland to abu dhabi</t>
  </si>
  <si>
    <t>jebel hafeet abu dhabi</t>
  </si>
  <si>
    <t>flight from china to abu dhabi</t>
  </si>
  <si>
    <t>flight from saudi arabia to abu dhabi</t>
  </si>
  <si>
    <t>flight from moscow to abu dhabi</t>
  </si>
  <si>
    <t>flight from cairo to abu dhabi</t>
  </si>
  <si>
    <t>flight from astana to abu dhabi</t>
  </si>
  <si>
    <t>flight from doha to abu dhabi</t>
  </si>
  <si>
    <t>flight from bucharest to abu dhabi</t>
  </si>
  <si>
    <t>flight from tokyo to abu dhabi</t>
  </si>
  <si>
    <t>flight from tashkent to abu dhabi</t>
  </si>
  <si>
    <t>flight from busan to abu dhabi</t>
  </si>
  <si>
    <t>flight from yerevan to abu dhabi</t>
  </si>
  <si>
    <t>flights from warsaw to abu dhabi</t>
  </si>
  <si>
    <t>saadiyat island</t>
  </si>
  <si>
    <t>flight from beijing to abu dhabi</t>
  </si>
  <si>
    <t>flight from riyadh to abu dhabi</t>
  </si>
  <si>
    <t>flight from Sharm El Sheikh to abu dhabi</t>
  </si>
  <si>
    <t>flight from osaka to abu dhabi</t>
  </si>
  <si>
    <t>saadiyat island abu dhabi</t>
  </si>
  <si>
    <t>flight from shanghai to abu dhabi</t>
  </si>
  <si>
    <t>flight from jeddah to abu dhabi</t>
  </si>
  <si>
    <t>desert safari abu dhabi</t>
  </si>
  <si>
    <t>flight from shenzen to abu dhabi</t>
  </si>
  <si>
    <t>souks abu dhabi</t>
  </si>
  <si>
    <t>abu dhabi shopping</t>
  </si>
  <si>
    <t>louvre abu dhabi museum</t>
  </si>
  <si>
    <t>things to do in abu dhabi</t>
  </si>
  <si>
    <t>abu dhabi itinerary</t>
  </si>
  <si>
    <t>day tour abu dhabi</t>
  </si>
  <si>
    <t>top sights in abu dhabi</t>
  </si>
  <si>
    <t>activities abu dhabi</t>
  </si>
  <si>
    <t>abu dhabi tours</t>
  </si>
  <si>
    <t>private abu dhabi tour</t>
  </si>
  <si>
    <t>qasr al hosn</t>
  </si>
  <si>
    <t>wasr al hosn abu dhabi</t>
  </si>
  <si>
    <t>yas marina circuit</t>
  </si>
  <si>
    <t>desert adventures abu dhabi</t>
  </si>
  <si>
    <t>what to do in abu dhabi</t>
  </si>
  <si>
    <t>visit abu dhabi</t>
  </si>
  <si>
    <t>abu dhabi</t>
  </si>
  <si>
    <t>abu dhabi travel</t>
  </si>
  <si>
    <t>abu dhabi trip</t>
  </si>
  <si>
    <t>trip to abu dhabi</t>
  </si>
  <si>
    <t>FOR REFERENCE ONLY</t>
  </si>
  <si>
    <t>Index Table</t>
  </si>
  <si>
    <t>% Split</t>
  </si>
  <si>
    <t>Change Y1 to allocate budget across markets</t>
  </si>
  <si>
    <t xml:space="preserve">if you want to change the allocation of a market, simply change it's Market Tiering in U column and paste the new values from W36 </t>
  </si>
  <si>
    <t>(green markets are Tier 1, Yellows are Tier 2)</t>
  </si>
  <si>
    <t>Search Volume  - 'Flight to Abu Dhabi'</t>
  </si>
  <si>
    <t>Global Explorers (Audience M)</t>
  </si>
  <si>
    <t xml:space="preserve">Audience Ratio vs. Total Population </t>
  </si>
  <si>
    <t>Tier 1</t>
  </si>
  <si>
    <t>Tier 2</t>
  </si>
  <si>
    <t xml:space="preserve">Model Weight </t>
  </si>
  <si>
    <t xml:space="preserve">&lt;-- </t>
  </si>
  <si>
    <t>aim for 4m</t>
  </si>
  <si>
    <t>Edited for Pan Arab TV impact</t>
  </si>
  <si>
    <t>Row Labels</t>
  </si>
  <si>
    <t>Sum of Grand Total</t>
  </si>
  <si>
    <t>UM Media Algeria</t>
  </si>
  <si>
    <t>UM Media Angola</t>
  </si>
  <si>
    <t>UM Media Australia</t>
  </si>
  <si>
    <t>UM Media Austria</t>
  </si>
  <si>
    <t>UM Media Bahrain</t>
  </si>
  <si>
    <t>UM Media Bangladesh</t>
  </si>
  <si>
    <t>UM Media Belgium</t>
  </si>
  <si>
    <t>UM Media Brazil</t>
  </si>
  <si>
    <t>UM Media Canada</t>
  </si>
  <si>
    <t>UM Media China</t>
  </si>
  <si>
    <t>UM Media Czech Republic</t>
  </si>
  <si>
    <t>UM Media Denmark</t>
  </si>
  <si>
    <t>UM Media Egypt</t>
  </si>
  <si>
    <t>UM Media Ethiopia</t>
  </si>
  <si>
    <t>UM Media France</t>
  </si>
  <si>
    <t>UM Media Germany</t>
  </si>
  <si>
    <t>UM Media Ghana</t>
  </si>
  <si>
    <t>UM Media Greece</t>
  </si>
  <si>
    <t>UM Media Guinea</t>
  </si>
  <si>
    <t>UM Media Hong Kong</t>
  </si>
  <si>
    <t>UM Media Hungary</t>
  </si>
  <si>
    <t>UM Media India</t>
  </si>
  <si>
    <t>UM Media Indonesia</t>
  </si>
  <si>
    <t>UM Media Ireland</t>
  </si>
  <si>
    <t>UM Media Italy</t>
  </si>
  <si>
    <t>UM Media Ivory Coast</t>
  </si>
  <si>
    <t>UM Media Japan</t>
  </si>
  <si>
    <t>UM Media Kenya</t>
  </si>
  <si>
    <t>UM Media KSA</t>
  </si>
  <si>
    <t>UM Media Kuwait</t>
  </si>
  <si>
    <t>UM Media Lebanon</t>
  </si>
  <si>
    <t>UM Media Malaysia</t>
  </si>
  <si>
    <t>UM Media Malta</t>
  </si>
  <si>
    <t>UM Media Mexico</t>
  </si>
  <si>
    <t>UM Media Morocco</t>
  </si>
  <si>
    <t>UM Media Netherlands</t>
  </si>
  <si>
    <t>UM Media New Zealand</t>
  </si>
  <si>
    <t>UM Media Norway</t>
  </si>
  <si>
    <t>UM Media Pakistan</t>
  </si>
  <si>
    <t>UM Media Philippines</t>
  </si>
  <si>
    <t>UM Media Poland</t>
  </si>
  <si>
    <t>UM Media Portugal</t>
  </si>
  <si>
    <t>UM Media Russia</t>
  </si>
  <si>
    <t>UM Media Senegal - Simply Black</t>
  </si>
  <si>
    <t>UM Media Singapore</t>
  </si>
  <si>
    <t>UM Media South Africa</t>
  </si>
  <si>
    <t>UM Media South Korea</t>
  </si>
  <si>
    <t>UM Media Spain</t>
  </si>
  <si>
    <t>UM Media Sri Lanka</t>
  </si>
  <si>
    <t>UM Media Sri Lanka - The Insight Hive</t>
  </si>
  <si>
    <t>UM Media Sweden</t>
  </si>
  <si>
    <t>UM Media Switzerland</t>
  </si>
  <si>
    <t>UM Media Taiwan</t>
  </si>
  <si>
    <t>UM Media Tanzania</t>
  </si>
  <si>
    <t>UM Media Thailand</t>
  </si>
  <si>
    <t>UM Media Tunisia/Libya</t>
  </si>
  <si>
    <t>UM Media Türkiye</t>
  </si>
  <si>
    <t>UM Media UAE</t>
  </si>
  <si>
    <t>UM Media Uganda</t>
  </si>
  <si>
    <t>UM Media UK</t>
  </si>
  <si>
    <t>UM Media USA</t>
  </si>
  <si>
    <t>UM Media Vietnam</t>
  </si>
  <si>
    <t>UM Media Zambia</t>
  </si>
  <si>
    <t>UM Media Zimbabwe</t>
  </si>
  <si>
    <t>(blank)</t>
  </si>
  <si>
    <t>Grand Total</t>
  </si>
  <si>
    <t>Tier</t>
  </si>
  <si>
    <t>Col A</t>
  </si>
  <si>
    <t>Col B</t>
  </si>
  <si>
    <t>Col C</t>
  </si>
  <si>
    <t>x-axis</t>
  </si>
  <si>
    <t>y-axis</t>
  </si>
  <si>
    <t>size</t>
  </si>
  <si>
    <t>Media Cost Index</t>
  </si>
  <si>
    <t>Values for dropdowns:</t>
  </si>
  <si>
    <t>Search Volume  - 'Abu Dhabi'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</si>
</sst>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.0"/>
    <numFmt numFmtId="168" formatCode="[$$-540A]#,##0_ ;\-[$$-540A]#,##0\ "/>
    <numFmt numFmtId="169" formatCode="[$$-540A]#,##0.00_ ;\-[$$-540A]#,##0.00\ "/>
    <numFmt numFmtId="170" formatCode="_-[$$-409]* #,##0.00_ ;_-[$$-409]* \-#,##0.00\ ;_-[$$-409]* &quot;-&quot;??_ ;_-@_ "/>
    <numFmt numFmtId="171" formatCode="[$$-540A]#,##0.0_ ;\-[$$-540A]#,##0.0\ "/>
    <numFmt numFmtId="172" formatCode="_-[$€-2]\ * #,##0_-;\-[$€-2]\ * #,##0_-;_-[$€-2]\ * &quot;-&quot;??_-;_-@_-"/>
    <numFmt numFmtId="173" formatCode="[$$-540A]#,##0.00"/>
    <numFmt numFmtId="174" formatCode="[$$-2809]#,##0.00;\-[$$-2809]#,##0.00"/>
    <numFmt numFmtId="175" formatCode="[$$-C09]#,##0.00"/>
    <numFmt numFmtId="176" formatCode="[$$-1004]#,##0;\-[$$-1004]#,##0"/>
    <numFmt numFmtId="177" formatCode="_-[$$-C09]* #,##0_-;\-[$$-C09]* #,##0_-;_-[$$-C09]* &quot;-&quot;_-;_-@_-"/>
    <numFmt numFmtId="178" formatCode="_-* #,##0.0_-;\-* #,##0.0_-;_-* &quot;-&quot;??_-;_-@_-"/>
    <numFmt numFmtId="179" formatCode="[$€-2]\ #,##0.00"/>
    <numFmt numFmtId="181" formatCode="[$€-2]\ #,##0"/>
    <numFmt numFmtId="182" formatCode="[$€-2]\ #,##0;[Red]\-[$€-2]\ #,##0"/>
    <numFmt numFmtId="196" formatCode="[$AED]\ #,##0"/>
    <numFmt numFmtId="200" formatCode="&quot;AED&quot;#,##0"/>
    <numFmt numFmtId="201" formatCode="0.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Interstate Regular"/>
    </font>
    <font>
      <sz val="11"/>
      <name val="Interstate Regular"/>
    </font>
    <font>
      <b/>
      <sz val="11"/>
      <color theme="0"/>
      <name val="Interstate Regular"/>
    </font>
    <font>
      <b/>
      <sz val="11"/>
      <color theme="1"/>
      <name val="Interstate Regula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1"/>
      <color theme="1"/>
      <name val="Aptos Narrow"/>
      <family val="2"/>
      <scheme val="minor"/>
    </font>
    <font>
      <b/>
      <sz val="11.5"/>
      <color rgb="FFFEFFFF"/>
      <name val="DM Sans"/>
    </font>
    <font>
      <sz val="11.5"/>
      <color rgb="FF000000"/>
      <name val="DM Sans"/>
    </font>
    <font>
      <sz val="12"/>
      <color rgb="FF000000"/>
      <name val="Helvetica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Vertical">
        <fgColor rgb="FF5D87A1"/>
        <bgColor rgb="FF5D87A1"/>
      </patternFill>
    </fill>
    <fill>
      <patternFill patternType="darkVertical">
        <fgColor rgb="FF5D87A1"/>
        <bgColor theme="9"/>
      </patternFill>
    </fill>
    <fill>
      <patternFill patternType="darkVertical">
        <fgColor rgb="FF5D87A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70E8"/>
        <bgColor indexed="64"/>
      </patternFill>
    </fill>
    <fill>
      <patternFill patternType="solid">
        <fgColor rgb="FFD8D5F6"/>
        <bgColor indexed="64"/>
      </patternFill>
    </fill>
    <fill>
      <patternFill patternType="solid">
        <fgColor rgb="FFECEBFB"/>
        <bgColor indexed="64"/>
      </patternFill>
    </fill>
    <fill>
      <patternFill patternType="solid">
        <fgColor rgb="FFE5E2F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2" fillId="8" borderId="0" applyNumberFormat="0" applyBorder="0" applyProtection="0">
      <alignment vertical="center"/>
    </xf>
  </cellStyleXfs>
  <cellXfs count="234">
    <xf numFmtId="0" fontId="0" fillId="0" borderId="0" xfId="0"/>
    <xf numFmtId="165" fontId="0" fillId="0" borderId="0" xfId="1" applyNumberFormat="1" applyFont="1"/>
    <xf numFmtId="164" fontId="0" fillId="0" borderId="0" xfId="1" applyFont="1"/>
    <xf numFmtId="0" fontId="2" fillId="0" borderId="0" xfId="0" applyFont="1"/>
    <xf numFmtId="166" fontId="0" fillId="0" borderId="0" xfId="2" applyNumberFormat="1" applyFont="1"/>
    <xf numFmtId="3" fontId="0" fillId="0" borderId="0" xfId="0" applyNumberFormat="1"/>
    <xf numFmtId="0" fontId="0" fillId="2" borderId="0" xfId="0" applyFill="1"/>
    <xf numFmtId="0" fontId="3" fillId="0" borderId="0" xfId="3"/>
    <xf numFmtId="167" fontId="0" fillId="0" borderId="0" xfId="0" applyNumberFormat="1"/>
    <xf numFmtId="0" fontId="3" fillId="2" borderId="0" xfId="3" applyFill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/>
    <xf numFmtId="1" fontId="6" fillId="0" borderId="0" xfId="2" applyNumberFormat="1" applyFont="1" applyAlignment="1">
      <alignment horizontal="right" vertical="center"/>
    </xf>
    <xf numFmtId="0" fontId="6" fillId="0" borderId="0" xfId="0" applyFont="1" applyAlignment="1">
      <alignment horizontal="left"/>
    </xf>
    <xf numFmtId="3" fontId="6" fillId="0" borderId="0" xfId="0" applyNumberFormat="1" applyFont="1"/>
    <xf numFmtId="0" fontId="4" fillId="4" borderId="1" xfId="0" applyFont="1" applyFill="1" applyBorder="1" applyAlignment="1">
      <alignment horizontal="left" vertical="center" wrapText="1"/>
    </xf>
    <xf numFmtId="0" fontId="3" fillId="4" borderId="2" xfId="3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5" borderId="0" xfId="0" applyFill="1"/>
    <xf numFmtId="0" fontId="2" fillId="6" borderId="0" xfId="0" applyFont="1" applyFill="1"/>
    <xf numFmtId="167" fontId="0" fillId="6" borderId="0" xfId="0" applyNumberFormat="1" applyFill="1"/>
    <xf numFmtId="0" fontId="0" fillId="6" borderId="0" xfId="0" applyFill="1"/>
    <xf numFmtId="0" fontId="0" fillId="7" borderId="0" xfId="0" applyFill="1"/>
    <xf numFmtId="167" fontId="0" fillId="7" borderId="0" xfId="0" applyNumberFormat="1" applyFill="1"/>
    <xf numFmtId="167" fontId="0" fillId="5" borderId="0" xfId="0" applyNumberFormat="1" applyFill="1"/>
    <xf numFmtId="166" fontId="0" fillId="5" borderId="0" xfId="2" applyNumberFormat="1" applyFont="1" applyFill="1"/>
    <xf numFmtId="166" fontId="0" fillId="6" borderId="0" xfId="2" applyNumberFormat="1" applyFont="1" applyFill="1"/>
    <xf numFmtId="166" fontId="0" fillId="7" borderId="0" xfId="2" applyNumberFormat="1" applyFont="1" applyFill="1"/>
    <xf numFmtId="0" fontId="11" fillId="0" borderId="3" xfId="0" applyFont="1" applyBorder="1" applyAlignment="1">
      <alignment horizontal="center" vertical="center"/>
    </xf>
    <xf numFmtId="0" fontId="13" fillId="8" borderId="4" xfId="4" applyFont="1" applyBorder="1" applyAlignment="1">
      <alignment horizontal="center" vertical="center" wrapText="1"/>
    </xf>
    <xf numFmtId="0" fontId="13" fillId="8" borderId="4" xfId="4" applyFont="1" applyBorder="1" applyAlignment="1">
      <alignment vertical="center" wrapText="1"/>
    </xf>
    <xf numFmtId="0" fontId="13" fillId="9" borderId="5" xfId="4" applyFont="1" applyFill="1" applyBorder="1" applyAlignment="1">
      <alignment vertical="center" wrapText="1"/>
    </xf>
    <xf numFmtId="168" fontId="0" fillId="0" borderId="0" xfId="1" applyNumberFormat="1" applyFont="1"/>
    <xf numFmtId="16" fontId="0" fillId="0" borderId="0" xfId="0" quotePrefix="1" applyNumberFormat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2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8" fontId="0" fillId="0" borderId="0" xfId="2" applyNumberFormat="1" applyFon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71" fontId="0" fillId="0" borderId="0" xfId="0" applyNumberFormat="1"/>
    <xf numFmtId="164" fontId="10" fillId="0" borderId="0" xfId="1" applyFont="1"/>
    <xf numFmtId="9" fontId="0" fillId="0" borderId="0" xfId="2" applyFont="1"/>
    <xf numFmtId="164" fontId="10" fillId="0" borderId="0" xfId="0" applyNumberFormat="1" applyFont="1"/>
    <xf numFmtId="169" fontId="10" fillId="0" borderId="0" xfId="0" applyNumberFormat="1" applyFont="1"/>
    <xf numFmtId="164" fontId="2" fillId="0" borderId="0" xfId="1" applyFont="1"/>
    <xf numFmtId="0" fontId="14" fillId="0" borderId="0" xfId="0" applyFont="1"/>
    <xf numFmtId="164" fontId="0" fillId="0" borderId="0" xfId="0" applyNumberFormat="1"/>
    <xf numFmtId="172" fontId="0" fillId="0" borderId="0" xfId="0" applyNumberFormat="1" applyAlignment="1">
      <alignment horizontal="center"/>
    </xf>
    <xf numFmtId="173" fontId="0" fillId="0" borderId="0" xfId="0" applyNumberFormat="1"/>
    <xf numFmtId="0" fontId="13" fillId="8" borderId="0" xfId="4" applyFont="1" applyBorder="1" applyAlignment="1">
      <alignment horizontal="center" vertical="center" wrapText="1"/>
    </xf>
    <xf numFmtId="165" fontId="0" fillId="0" borderId="0" xfId="0" applyNumberFormat="1"/>
    <xf numFmtId="164" fontId="2" fillId="2" borderId="0" xfId="1" applyFont="1" applyFill="1"/>
    <xf numFmtId="0" fontId="0" fillId="11" borderId="0" xfId="0" applyFill="1" applyAlignment="1">
      <alignment vertical="center" wrapText="1"/>
    </xf>
    <xf numFmtId="164" fontId="1" fillId="11" borderId="0" xfId="1" applyFont="1" applyFill="1"/>
    <xf numFmtId="165" fontId="0" fillId="11" borderId="0" xfId="1" applyNumberFormat="1" applyFont="1" applyFill="1"/>
    <xf numFmtId="0" fontId="0" fillId="11" borderId="0" xfId="0" applyFill="1"/>
    <xf numFmtId="164" fontId="0" fillId="11" borderId="0" xfId="1" applyFont="1" applyFill="1"/>
    <xf numFmtId="164" fontId="2" fillId="11" borderId="0" xfId="1" applyFont="1" applyFill="1"/>
    <xf numFmtId="0" fontId="0" fillId="12" borderId="0" xfId="0" applyFill="1"/>
    <xf numFmtId="165" fontId="0" fillId="12" borderId="0" xfId="1" applyNumberFormat="1" applyFont="1" applyFill="1"/>
    <xf numFmtId="164" fontId="0" fillId="12" borderId="0" xfId="1" applyFont="1" applyFill="1"/>
    <xf numFmtId="166" fontId="0" fillId="12" borderId="0" xfId="2" applyNumberFormat="1" applyFont="1" applyFill="1"/>
    <xf numFmtId="168" fontId="0" fillId="12" borderId="0" xfId="2" applyNumberFormat="1" applyFont="1" applyFill="1"/>
    <xf numFmtId="168" fontId="0" fillId="12" borderId="0" xfId="0" applyNumberFormat="1" applyFill="1"/>
    <xf numFmtId="169" fontId="0" fillId="12" borderId="0" xfId="0" applyNumberFormat="1" applyFill="1"/>
    <xf numFmtId="9" fontId="0" fillId="12" borderId="0" xfId="0" applyNumberFormat="1" applyFill="1"/>
    <xf numFmtId="170" fontId="0" fillId="12" borderId="0" xfId="0" applyNumberFormat="1" applyFill="1"/>
    <xf numFmtId="171" fontId="0" fillId="12" borderId="0" xfId="0" applyNumberFormat="1" applyFill="1"/>
    <xf numFmtId="0" fontId="10" fillId="12" borderId="0" xfId="0" applyFont="1" applyFill="1"/>
    <xf numFmtId="164" fontId="10" fillId="12" borderId="0" xfId="1" applyFont="1" applyFill="1"/>
    <xf numFmtId="164" fontId="0" fillId="6" borderId="0" xfId="1" applyFont="1" applyFill="1"/>
    <xf numFmtId="164" fontId="0" fillId="5" borderId="0" xfId="1" applyFont="1" applyFill="1"/>
    <xf numFmtId="164" fontId="0" fillId="7" borderId="0" xfId="1" applyFont="1" applyFill="1"/>
    <xf numFmtId="177" fontId="0" fillId="0" borderId="0" xfId="1" applyNumberFormat="1" applyFont="1"/>
    <xf numFmtId="177" fontId="0" fillId="12" borderId="0" xfId="1" applyNumberFormat="1" applyFont="1" applyFill="1"/>
    <xf numFmtId="165" fontId="3" fillId="0" borderId="0" xfId="3" applyNumberFormat="1"/>
    <xf numFmtId="174" fontId="0" fillId="11" borderId="0" xfId="1" applyNumberFormat="1" applyFont="1" applyFill="1"/>
    <xf numFmtId="165" fontId="0" fillId="11" borderId="0" xfId="1" applyNumberFormat="1" applyFont="1" applyFill="1" applyBorder="1"/>
    <xf numFmtId="0" fontId="13" fillId="10" borderId="4" xfId="4" applyFont="1" applyFill="1" applyBorder="1" applyAlignment="1">
      <alignment horizontal="center" vertical="center" wrapText="1"/>
    </xf>
    <xf numFmtId="175" fontId="0" fillId="11" borderId="0" xfId="1" applyNumberFormat="1" applyFont="1" applyFill="1"/>
    <xf numFmtId="176" fontId="0" fillId="11" borderId="0" xfId="1" applyNumberFormat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3" fillId="9" borderId="5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/>
    <xf numFmtId="179" fontId="0" fillId="0" borderId="0" xfId="0" applyNumberFormat="1" applyAlignment="1">
      <alignment vertical="center" wrapText="1"/>
    </xf>
    <xf numFmtId="179" fontId="0" fillId="0" borderId="0" xfId="2" applyNumberFormat="1" applyFont="1"/>
    <xf numFmtId="179" fontId="0" fillId="12" borderId="0" xfId="2" applyNumberFormat="1" applyFont="1" applyFill="1"/>
    <xf numFmtId="181" fontId="0" fillId="0" borderId="0" xfId="0" applyNumberFormat="1" applyAlignment="1">
      <alignment vertical="center" wrapText="1"/>
    </xf>
    <xf numFmtId="181" fontId="0" fillId="0" borderId="0" xfId="2" applyNumberFormat="1" applyFont="1"/>
    <xf numFmtId="181" fontId="0" fillId="12" borderId="0" xfId="2" applyNumberFormat="1" applyFont="1" applyFill="1"/>
    <xf numFmtId="179" fontId="0" fillId="0" borderId="0" xfId="1" applyNumberFormat="1" applyFont="1" applyAlignment="1">
      <alignment vertical="center"/>
    </xf>
    <xf numFmtId="181" fontId="0" fillId="0" borderId="0" xfId="1" applyNumberFormat="1" applyFont="1" applyAlignment="1">
      <alignment vertical="center"/>
    </xf>
    <xf numFmtId="0" fontId="15" fillId="13" borderId="0" xfId="0" applyFont="1" applyFill="1" applyAlignment="1">
      <alignment horizontal="left" vertical="center" wrapText="1" readingOrder="1"/>
    </xf>
    <xf numFmtId="0" fontId="16" fillId="14" borderId="0" xfId="0" applyFont="1" applyFill="1" applyAlignment="1">
      <alignment horizontal="left" vertical="center" wrapText="1" readingOrder="1"/>
    </xf>
    <xf numFmtId="182" fontId="16" fillId="14" borderId="0" xfId="0" applyNumberFormat="1" applyFont="1" applyFill="1" applyAlignment="1">
      <alignment horizontal="left" vertical="center" wrapText="1" readingOrder="1"/>
    </xf>
    <xf numFmtId="0" fontId="16" fillId="15" borderId="0" xfId="0" applyFont="1" applyFill="1" applyAlignment="1">
      <alignment horizontal="left" vertical="center" wrapText="1" readingOrder="1"/>
    </xf>
    <xf numFmtId="182" fontId="16" fillId="15" borderId="0" xfId="0" applyNumberFormat="1" applyFont="1" applyFill="1" applyAlignment="1">
      <alignment horizontal="left" vertical="center" wrapText="1" readingOrder="1"/>
    </xf>
    <xf numFmtId="0" fontId="16" fillId="16" borderId="0" xfId="0" applyFont="1" applyFill="1" applyAlignment="1">
      <alignment horizontal="left" vertical="center" wrapText="1" readingOrder="1"/>
    </xf>
    <xf numFmtId="182" fontId="16" fillId="16" borderId="0" xfId="0" applyNumberFormat="1" applyFont="1" applyFill="1" applyAlignment="1">
      <alignment horizontal="left" vertical="center" wrapText="1" readingOrder="1"/>
    </xf>
    <xf numFmtId="0" fontId="2" fillId="17" borderId="0" xfId="0" applyFont="1" applyFill="1"/>
    <xf numFmtId="0" fontId="0" fillId="17" borderId="0" xfId="0" applyFill="1"/>
    <xf numFmtId="0" fontId="2" fillId="11" borderId="0" xfId="0" applyFont="1" applyFill="1"/>
    <xf numFmtId="1" fontId="0" fillId="0" borderId="0" xfId="0" applyNumberFormat="1"/>
    <xf numFmtId="0" fontId="17" fillId="0" borderId="0" xfId="0" applyFont="1"/>
    <xf numFmtId="3" fontId="17" fillId="0" borderId="0" xfId="0" applyNumberFormat="1" applyFont="1"/>
    <xf numFmtId="4" fontId="17" fillId="0" borderId="0" xfId="0" applyNumberFormat="1" applyFont="1"/>
    <xf numFmtId="0" fontId="18" fillId="0" borderId="0" xfId="0" applyFont="1"/>
    <xf numFmtId="3" fontId="18" fillId="0" borderId="0" xfId="0" applyNumberFormat="1" applyFont="1"/>
    <xf numFmtId="0" fontId="19" fillId="0" borderId="0" xfId="0" applyFont="1"/>
    <xf numFmtId="10" fontId="18" fillId="0" borderId="0" xfId="0" applyNumberFormat="1" applyFont="1"/>
    <xf numFmtId="165" fontId="20" fillId="0" borderId="0" xfId="1" applyNumberFormat="1" applyFont="1"/>
    <xf numFmtId="165" fontId="0" fillId="0" borderId="0" xfId="1" applyNumberFormat="1" applyFont="1" applyFill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20" fillId="18" borderId="0" xfId="0" applyFont="1" applyFill="1"/>
    <xf numFmtId="0" fontId="20" fillId="0" borderId="0" xfId="0" applyFont="1"/>
    <xf numFmtId="0" fontId="10" fillId="17" borderId="0" xfId="0" applyFont="1" applyFill="1"/>
    <xf numFmtId="0" fontId="10" fillId="11" borderId="0" xfId="0" applyFont="1" applyFill="1"/>
    <xf numFmtId="0" fontId="21" fillId="19" borderId="0" xfId="0" applyFont="1" applyFill="1"/>
    <xf numFmtId="0" fontId="22" fillId="20" borderId="0" xfId="0" applyFont="1" applyFill="1"/>
    <xf numFmtId="0" fontId="22" fillId="0" borderId="0" xfId="0" applyFont="1"/>
    <xf numFmtId="165" fontId="23" fillId="0" borderId="0" xfId="1" applyNumberFormat="1" applyFont="1" applyFill="1"/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13" fillId="8" borderId="4" xfId="4" applyFont="1" applyBorder="1" applyAlignment="1">
      <alignment horizontal="center" vertical="center" wrapText="1"/>
    </xf>
    <xf numFmtId="0" fontId="13" fillId="8" borderId="6" xfId="4" applyFont="1" applyBorder="1" applyAlignment="1">
      <alignment horizontal="center" vertical="center" wrapText="1"/>
    </xf>
    <xf numFmtId="0" fontId="13" fillId="8" borderId="7" xfId="4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8" borderId="0" xfId="4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1" borderId="0" xfId="0" applyFont="1" applyFill="1" applyAlignment="1">
      <alignment vertical="center" wrapText="1"/>
    </xf>
    <xf numFmtId="16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8" fillId="0" borderId="0" xfId="0" applyFont="1" applyFill="1"/>
    <xf numFmtId="165" fontId="0" fillId="0" borderId="0" xfId="0" applyNumberFormat="1" applyFill="1"/>
    <xf numFmtId="0" fontId="0" fillId="0" borderId="0" xfId="0" applyFill="1" applyAlignment="1">
      <alignment horizontal="center" wrapText="1"/>
    </xf>
    <xf numFmtId="16" fontId="0" fillId="0" borderId="0" xfId="0" applyNumberFormat="1" applyFill="1"/>
    <xf numFmtId="0" fontId="0" fillId="0" borderId="0" xfId="2" applyNumberFormat="1" applyFont="1" applyFill="1" applyAlignment="1">
      <alignment vertical="center" wrapText="1"/>
    </xf>
    <xf numFmtId="0" fontId="2" fillId="22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3" fillId="8" borderId="0" xfId="4" applyFont="1" applyBorder="1" applyAlignment="1">
      <alignment vertical="center" wrapText="1"/>
    </xf>
    <xf numFmtId="0" fontId="13" fillId="9" borderId="0" xfId="4" applyFont="1" applyFill="1" applyBorder="1" applyAlignment="1">
      <alignment vertical="center" wrapText="1"/>
    </xf>
    <xf numFmtId="0" fontId="2" fillId="22" borderId="0" xfId="0" applyFont="1" applyFill="1" applyBorder="1" applyAlignment="1">
      <alignment vertical="center"/>
    </xf>
    <xf numFmtId="0" fontId="2" fillId="2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2" fillId="0" borderId="0" xfId="0" applyFont="1" applyBorder="1"/>
    <xf numFmtId="0" fontId="0" fillId="0" borderId="0" xfId="0" applyBorder="1"/>
    <xf numFmtId="164" fontId="27" fillId="22" borderId="0" xfId="1" applyFont="1" applyFill="1" applyAlignment="1">
      <alignment vertical="center"/>
    </xf>
    <xf numFmtId="0" fontId="2" fillId="21" borderId="0" xfId="0" applyFont="1" applyFill="1" applyBorder="1" applyAlignment="1">
      <alignment vertical="center" wrapText="1"/>
    </xf>
    <xf numFmtId="196" fontId="23" fillId="21" borderId="0" xfId="2" applyNumberFormat="1" applyFont="1" applyFill="1" applyBorder="1" applyAlignment="1">
      <alignment vertical="center"/>
    </xf>
    <xf numFmtId="9" fontId="0" fillId="0" borderId="0" xfId="2" applyFont="1" applyFill="1" applyAlignment="1">
      <alignment vertical="center"/>
    </xf>
    <xf numFmtId="164" fontId="0" fillId="0" borderId="0" xfId="1" applyNumberFormat="1" applyFont="1" applyFill="1" applyAlignment="1">
      <alignment vertical="center"/>
    </xf>
    <xf numFmtId="165" fontId="0" fillId="0" borderId="0" xfId="0" applyNumberFormat="1" applyFill="1" applyAlignment="1">
      <alignment vertical="center"/>
    </xf>
    <xf numFmtId="196" fontId="0" fillId="0" borderId="0" xfId="2" applyNumberFormat="1" applyFont="1" applyBorder="1" applyAlignment="1">
      <alignment vertical="center"/>
    </xf>
    <xf numFmtId="0" fontId="18" fillId="0" borderId="0" xfId="0" applyFont="1" applyFill="1" applyAlignment="1">
      <alignment vertical="center"/>
    </xf>
    <xf numFmtId="169" fontId="0" fillId="0" borderId="0" xfId="0" applyNumberFormat="1" applyFill="1" applyAlignment="1">
      <alignment vertical="center"/>
    </xf>
    <xf numFmtId="168" fontId="0" fillId="0" borderId="0" xfId="0" applyNumberFormat="1" applyFill="1" applyAlignment="1">
      <alignment vertical="center"/>
    </xf>
    <xf numFmtId="0" fontId="0" fillId="11" borderId="0" xfId="0" applyFill="1" applyBorder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Fill="1" applyAlignment="1">
      <alignment vertical="center"/>
    </xf>
    <xf numFmtId="0" fontId="0" fillId="0" borderId="8" xfId="0" applyBorder="1" applyAlignment="1">
      <alignment vertical="center"/>
    </xf>
    <xf numFmtId="0" fontId="0" fillId="2" borderId="8" xfId="0" applyFill="1" applyBorder="1" applyAlignment="1">
      <alignment vertical="center"/>
    </xf>
    <xf numFmtId="164" fontId="0" fillId="0" borderId="8" xfId="1" applyFont="1" applyBorder="1" applyAlignment="1">
      <alignment vertical="center"/>
    </xf>
    <xf numFmtId="0" fontId="0" fillId="11" borderId="8" xfId="0" applyFill="1" applyBorder="1" applyAlignment="1">
      <alignment vertical="center"/>
    </xf>
    <xf numFmtId="166" fontId="0" fillId="0" borderId="8" xfId="2" applyNumberFormat="1" applyFont="1" applyBorder="1" applyAlignment="1">
      <alignment vertical="center"/>
    </xf>
    <xf numFmtId="196" fontId="0" fillId="0" borderId="8" xfId="2" applyNumberFormat="1" applyFont="1" applyBorder="1" applyAlignment="1">
      <alignment vertical="center"/>
    </xf>
    <xf numFmtId="196" fontId="0" fillId="23" borderId="8" xfId="2" applyNumberFormat="1" applyFont="1" applyFill="1" applyBorder="1" applyAlignment="1">
      <alignment vertical="center"/>
    </xf>
    <xf numFmtId="9" fontId="0" fillId="0" borderId="0" xfId="2" applyFont="1" applyAlignment="1">
      <alignment vertical="center"/>
    </xf>
    <xf numFmtId="165" fontId="0" fillId="0" borderId="8" xfId="1" applyNumberFormat="1" applyFont="1" applyBorder="1" applyAlignment="1">
      <alignment vertical="center"/>
    </xf>
    <xf numFmtId="177" fontId="0" fillId="0" borderId="8" xfId="1" applyNumberFormat="1" applyFont="1" applyBorder="1" applyAlignment="1">
      <alignment vertical="center"/>
    </xf>
    <xf numFmtId="178" fontId="0" fillId="0" borderId="8" xfId="1" applyNumberFormat="1" applyFont="1" applyBorder="1" applyAlignment="1">
      <alignment vertical="center"/>
    </xf>
    <xf numFmtId="9" fontId="0" fillId="0" borderId="8" xfId="1" applyNumberFormat="1" applyFont="1" applyBorder="1" applyAlignment="1">
      <alignment vertical="center"/>
    </xf>
    <xf numFmtId="9" fontId="0" fillId="0" borderId="0" xfId="0" applyNumberFormat="1" applyFill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164" fontId="10" fillId="0" borderId="0" xfId="1" applyFont="1" applyAlignment="1">
      <alignment vertical="center"/>
    </xf>
    <xf numFmtId="165" fontId="0" fillId="0" borderId="0" xfId="1" applyNumberFormat="1" applyFont="1" applyFill="1" applyAlignment="1">
      <alignment vertical="center"/>
    </xf>
    <xf numFmtId="164" fontId="0" fillId="0" borderId="8" xfId="1" applyFont="1" applyFill="1" applyBorder="1" applyAlignment="1">
      <alignment vertical="center"/>
    </xf>
    <xf numFmtId="169" fontId="0" fillId="12" borderId="0" xfId="0" applyNumberFormat="1" applyFill="1" applyAlignment="1">
      <alignment vertical="center"/>
    </xf>
    <xf numFmtId="170" fontId="0" fillId="12" borderId="0" xfId="0" applyNumberFormat="1" applyFill="1" applyAlignment="1">
      <alignment vertical="center"/>
    </xf>
    <xf numFmtId="171" fontId="0" fillId="12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10" fillId="12" borderId="0" xfId="0" applyFont="1" applyFill="1" applyAlignment="1">
      <alignment vertical="center"/>
    </xf>
    <xf numFmtId="164" fontId="10" fillId="12" borderId="0" xfId="1" applyFont="1" applyFill="1" applyAlignment="1">
      <alignment vertical="center"/>
    </xf>
    <xf numFmtId="0" fontId="26" fillId="11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165" fontId="14" fillId="0" borderId="8" xfId="1" applyNumberFormat="1" applyFont="1" applyBorder="1" applyAlignment="1">
      <alignment vertical="center"/>
    </xf>
    <xf numFmtId="9" fontId="14" fillId="0" borderId="8" xfId="2" applyFont="1" applyBorder="1" applyAlignment="1">
      <alignment vertical="center"/>
    </xf>
    <xf numFmtId="164" fontId="14" fillId="0" borderId="8" xfId="1" applyFont="1" applyBorder="1" applyAlignment="1">
      <alignment vertical="center"/>
    </xf>
    <xf numFmtId="9" fontId="14" fillId="0" borderId="8" xfId="1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Fill="1" applyAlignment="1">
      <alignment vertical="center"/>
    </xf>
    <xf numFmtId="169" fontId="14" fillId="0" borderId="0" xfId="0" applyNumberFormat="1" applyFont="1" applyFill="1" applyAlignment="1">
      <alignment vertical="center"/>
    </xf>
    <xf numFmtId="9" fontId="14" fillId="0" borderId="0" xfId="0" applyNumberFormat="1" applyFont="1" applyFill="1" applyAlignment="1">
      <alignment vertical="center"/>
    </xf>
    <xf numFmtId="169" fontId="14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4" fontId="25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9" fontId="0" fillId="0" borderId="8" xfId="2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196" fontId="23" fillId="12" borderId="0" xfId="2" applyNumberFormat="1" applyFont="1" applyFill="1" applyBorder="1" applyAlignment="1">
      <alignment vertical="center"/>
    </xf>
    <xf numFmtId="201" fontId="28" fillId="0" borderId="0" xfId="0" applyNumberFormat="1" applyFont="1"/>
    <xf numFmtId="0" fontId="0" fillId="0" borderId="0" xfId="0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0" fillId="0" borderId="0" xfId="0" applyFont="1" applyFill="1"/>
    <xf numFmtId="0" fontId="20" fillId="0" borderId="0" xfId="0" applyFont="1" applyFill="1" applyAlignment="1">
      <alignment vertical="center"/>
    </xf>
    <xf numFmtId="0" fontId="29" fillId="0" borderId="0" xfId="0" applyFont="1" applyFill="1"/>
    <xf numFmtId="0" fontId="28" fillId="0" borderId="0" xfId="0" applyFont="1" applyFill="1"/>
    <xf numFmtId="2" fontId="0" fillId="0" borderId="0" xfId="0" applyNumberFormat="1" applyAlignment="1">
      <alignment vertical="center"/>
    </xf>
    <xf numFmtId="0" fontId="2" fillId="21" borderId="0" xfId="0" applyFont="1" applyFill="1" applyAlignment="1">
      <alignment vertical="center"/>
    </xf>
    <xf numFmtId="200" fontId="0" fillId="0" borderId="0" xfId="0" applyNumberFormat="1"/>
  </cellXfs>
  <cellStyles count="5">
    <cellStyle name="Comma" xfId="1" builtinId="3"/>
    <cellStyle name="HeaderStyle" xfId="4" xr:uid="{48C5C148-A6AA-4236-9335-9F8F3D49BD89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dataviz!$D$34</c:f>
          <c:strCache>
            <c:ptCount val="1"/>
            <c:pt idx="0">
              <c:v>Bubble Chart: Media Cost Index x Weighted Score (Size: Budget Split)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dataviz!$D$39:$D$64</c:f>
              <c:numCache>
                <c:formatCode>0.00</c:formatCode>
                <c:ptCount val="26"/>
                <c:pt idx="0">
                  <c:v>0.73004062442264184</c:v>
                </c:pt>
                <c:pt idx="1">
                  <c:v>0.98552341491133066</c:v>
                </c:pt>
                <c:pt idx="2">
                  <c:v>0.89414785444377365</c:v>
                </c:pt>
                <c:pt idx="3">
                  <c:v>0.69171173816824461</c:v>
                </c:pt>
                <c:pt idx="4">
                  <c:v>0.6231111223999517</c:v>
                </c:pt>
                <c:pt idx="5">
                  <c:v>0.13395493014164964</c:v>
                </c:pt>
                <c:pt idx="6">
                  <c:v>0.10428167237058236</c:v>
                </c:pt>
                <c:pt idx="7">
                  <c:v>0.25495495127936407</c:v>
                </c:pt>
                <c:pt idx="8">
                  <c:v>0.40226975733440823</c:v>
                </c:pt>
                <c:pt idx="9">
                  <c:v>0.85584734151138386</c:v>
                </c:pt>
                <c:pt idx="10">
                  <c:v>0.15970742621902018</c:v>
                </c:pt>
                <c:pt idx="11">
                  <c:v>0.18850108246518354</c:v>
                </c:pt>
                <c:pt idx="12">
                  <c:v>0.55037777758208473</c:v>
                </c:pt>
                <c:pt idx="13">
                  <c:v>0.65116974957148832</c:v>
                </c:pt>
                <c:pt idx="14">
                  <c:v>0.8091587608253521</c:v>
                </c:pt>
                <c:pt idx="15">
                  <c:v>6.9172666106451605E-2</c:v>
                </c:pt>
                <c:pt idx="16">
                  <c:v>0.26711273442056771</c:v>
                </c:pt>
                <c:pt idx="17">
                  <c:v>0.75419624711232514</c:v>
                </c:pt>
                <c:pt idx="18">
                  <c:v>0.10428167237058236</c:v>
                </c:pt>
                <c:pt idx="19">
                  <c:v>0.55037777758208473</c:v>
                </c:pt>
                <c:pt idx="20">
                  <c:v>0.69171173816824461</c:v>
                </c:pt>
                <c:pt idx="21">
                  <c:v>0.97709161230548192</c:v>
                </c:pt>
                <c:pt idx="22">
                  <c:v>0.55037777758208473</c:v>
                </c:pt>
                <c:pt idx="23">
                  <c:v>0.18850108246518354</c:v>
                </c:pt>
                <c:pt idx="24">
                  <c:v>0.35953419675390041</c:v>
                </c:pt>
                <c:pt idx="25">
                  <c:v>0.15970742621902018</c:v>
                </c:pt>
              </c:numCache>
            </c:numRef>
          </c:xVal>
          <c:yVal>
            <c:numRef>
              <c:f>dataviz!$E$39:$E$64</c:f>
              <c:numCache>
                <c:formatCode>0.00</c:formatCode>
                <c:ptCount val="26"/>
                <c:pt idx="0">
                  <c:v>106.74561752239512</c:v>
                </c:pt>
                <c:pt idx="1">
                  <c:v>223.84195969697979</c:v>
                </c:pt>
                <c:pt idx="2">
                  <c:v>220.459483107533</c:v>
                </c:pt>
                <c:pt idx="3">
                  <c:v>211.90058304596513</c:v>
                </c:pt>
                <c:pt idx="4">
                  <c:v>210.7512149090214</c:v>
                </c:pt>
                <c:pt idx="5">
                  <c:v>59.364732703587514</c:v>
                </c:pt>
                <c:pt idx="6">
                  <c:v>66.696784419098236</c:v>
                </c:pt>
                <c:pt idx="7">
                  <c:v>54.617531191652994</c:v>
                </c:pt>
                <c:pt idx="8">
                  <c:v>65.091672118060487</c:v>
                </c:pt>
                <c:pt idx="9">
                  <c:v>80.443354696549676</c:v>
                </c:pt>
                <c:pt idx="10">
                  <c:v>67.726058707607265</c:v>
                </c:pt>
                <c:pt idx="11">
                  <c:v>57.374398623009512</c:v>
                </c:pt>
                <c:pt idx="12">
                  <c:v>73.745254366586195</c:v>
                </c:pt>
                <c:pt idx="13">
                  <c:v>78.5384956735587</c:v>
                </c:pt>
                <c:pt idx="14">
                  <c:v>80.714098919822504</c:v>
                </c:pt>
                <c:pt idx="15">
                  <c:v>65.584655979584738</c:v>
                </c:pt>
                <c:pt idx="16">
                  <c:v>64.776155741175117</c:v>
                </c:pt>
                <c:pt idx="17">
                  <c:v>77.624375953663829</c:v>
                </c:pt>
                <c:pt idx="18">
                  <c:v>62.828596888603435</c:v>
                </c:pt>
                <c:pt idx="19">
                  <c:v>76.550765716426412</c:v>
                </c:pt>
                <c:pt idx="20">
                  <c:v>210.6013890583634</c:v>
                </c:pt>
                <c:pt idx="21">
                  <c:v>211.99147928669731</c:v>
                </c:pt>
                <c:pt idx="22">
                  <c:v>202.20570006449552</c:v>
                </c:pt>
                <c:pt idx="23">
                  <c:v>193.98379846474327</c:v>
                </c:pt>
                <c:pt idx="24">
                  <c:v>55.155707743779843</c:v>
                </c:pt>
                <c:pt idx="25">
                  <c:v>199.52773530186911</c:v>
                </c:pt>
              </c:numCache>
            </c:numRef>
          </c:yVal>
          <c:bubbleSize>
            <c:numRef>
              <c:f>dataviz!$F$39:$F$64</c:f>
              <c:numCache>
                <c:formatCode>General</c:formatCode>
                <c:ptCount val="26"/>
                <c:pt idx="0">
                  <c:v>12134747.735655418</c:v>
                </c:pt>
                <c:pt idx="1">
                  <c:v>25446156.728708107</c:v>
                </c:pt>
                <c:pt idx="2">
                  <c:v>25061639.770659827</c:v>
                </c:pt>
                <c:pt idx="3">
                  <c:v>24088671.553767718</c:v>
                </c:pt>
                <c:pt idx="4">
                  <c:v>23958012.396783721</c:v>
                </c:pt>
                <c:pt idx="5">
                  <c:v>6748530.5015122844</c:v>
                </c:pt>
                <c:pt idx="6">
                  <c:v>7582031.6795239802</c:v>
                </c:pt>
                <c:pt idx="7">
                  <c:v>6208872.8168718675</c:v>
                </c:pt>
                <c:pt idx="8">
                  <c:v>7399563.9275677549</c:v>
                </c:pt>
                <c:pt idx="9">
                  <c:v>9144729.6751801968</c:v>
                </c:pt>
                <c:pt idx="10">
                  <c:v>7699038.6736446787</c:v>
                </c:pt>
                <c:pt idx="11">
                  <c:v>6522271.077115545</c:v>
                </c:pt>
                <c:pt idx="12">
                  <c:v>8383295.53203924</c:v>
                </c:pt>
                <c:pt idx="13">
                  <c:v>8928186.9800092857</c:v>
                </c:pt>
                <c:pt idx="14">
                  <c:v>9175507.6399019081</c:v>
                </c:pt>
                <c:pt idx="15">
                  <c:v>7455605.8985282108</c:v>
                </c:pt>
                <c:pt idx="16">
                  <c:v>7363696.3038766123</c:v>
                </c:pt>
                <c:pt idx="17">
                  <c:v>8824270.6557743829</c:v>
                </c:pt>
                <c:pt idx="18">
                  <c:v>7142299.5297060786</c:v>
                </c:pt>
                <c:pt idx="19">
                  <c:v>8702223.5900711007</c:v>
                </c:pt>
                <c:pt idx="20">
                  <c:v>23940980.326107528</c:v>
                </c:pt>
                <c:pt idx="21">
                  <c:v>24099004.558316339</c:v>
                </c:pt>
                <c:pt idx="22">
                  <c:v>22986565.799569886</c:v>
                </c:pt>
                <c:pt idx="23">
                  <c:v>22051907.270853765</c:v>
                </c:pt>
                <c:pt idx="24">
                  <c:v>6270052.253076206</c:v>
                </c:pt>
                <c:pt idx="25">
                  <c:v>22682137.125178378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9C3-5744-A85F-CEC08E13A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36977823"/>
        <c:axId val="436979535"/>
      </c:bubbleChart>
      <c:valAx>
        <c:axId val="4369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979535"/>
        <c:crosses val="autoZero"/>
        <c:crossBetween val="midCat"/>
      </c:valAx>
      <c:valAx>
        <c:axId val="4369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697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36</xdr:row>
      <xdr:rowOff>177800</xdr:rowOff>
    </xdr:from>
    <xdr:to>
      <xdr:col>12</xdr:col>
      <xdr:colOff>749300</xdr:colOff>
      <xdr:row>63</xdr:row>
      <xdr:rowOff>107950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A8261C44-D10C-63DA-AE4F-8FD3C8E1A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1409700</xdr:colOff>
      <xdr:row>2</xdr:row>
      <xdr:rowOff>123693</xdr:rowOff>
    </xdr:to>
    <xdr:pic>
      <xdr:nvPicPr>
        <xdr:cNvPr id="2" name="Picture 1" descr="Magna Black.wmf">
          <a:extLst>
            <a:ext uri="{FF2B5EF4-FFF2-40B4-BE49-F238E27FC236}">
              <a16:creationId xmlns:a16="http://schemas.microsoft.com/office/drawing/2014/main" id="{5EACAA8F-8B49-4261-B235-27B3FACF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95"/>
          <a:ext cx="1409700" cy="4780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n.wikipedia.org/wiki/Disposable_household_and_per_capita_incom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ons.gov.uk/peoplepopulationandcommunity/leisureandtourism/articles/traveltrends/2023" TargetMode="External"/><Relationship Id="rId1" Type="http://schemas.openxmlformats.org/officeDocument/2006/relationships/hyperlink" Target="https://ourworldindata.org/grapher/international-tourist-departures?tab=table&amp;time=2021..latest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datapandas.org/ranking/millionaires-by-country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theglobaleconomy.com/download-data.php" TargetMode="External"/><Relationship Id="rId1" Type="http://schemas.openxmlformats.org/officeDocument/2006/relationships/hyperlink" Target="https://www.theglobaleconomy.com/rankings/inflatio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datapandas.org/ranking/hdi-by-country?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eglobaleconomy.com/Niger/Inflation/" TargetMode="External"/><Relationship Id="rId21" Type="http://schemas.openxmlformats.org/officeDocument/2006/relationships/hyperlink" Target="https://www.theglobaleconomy.com/Angola/Inflation/" TargetMode="External"/><Relationship Id="rId42" Type="http://schemas.openxmlformats.org/officeDocument/2006/relationships/hyperlink" Target="https://www.theglobaleconomy.com/Kiribati/Inflation/" TargetMode="External"/><Relationship Id="rId63" Type="http://schemas.openxmlformats.org/officeDocument/2006/relationships/hyperlink" Target="https://www.theglobaleconomy.com/Jamaica/Inflation/" TargetMode="External"/><Relationship Id="rId84" Type="http://schemas.openxmlformats.org/officeDocument/2006/relationships/hyperlink" Target="https://www.theglobaleconomy.com/Norway/Inflation/" TargetMode="External"/><Relationship Id="rId138" Type="http://schemas.openxmlformats.org/officeDocument/2006/relationships/hyperlink" Target="https://www.theglobaleconomy.com/Papua-New-Guinea/Inflation/" TargetMode="External"/><Relationship Id="rId159" Type="http://schemas.openxmlformats.org/officeDocument/2006/relationships/hyperlink" Target="https://www.theglobaleconomy.com/Seychelles/Inflation/" TargetMode="External"/><Relationship Id="rId107" Type="http://schemas.openxmlformats.org/officeDocument/2006/relationships/hyperlink" Target="https://www.theglobaleconomy.com/Saint-Lucia/Inflation/" TargetMode="External"/><Relationship Id="rId11" Type="http://schemas.openxmlformats.org/officeDocument/2006/relationships/hyperlink" Target="https://www.theglobaleconomy.com/Ethiopia/Inflation/" TargetMode="External"/><Relationship Id="rId32" Type="http://schemas.openxmlformats.org/officeDocument/2006/relationships/hyperlink" Target="https://www.theglobaleconomy.com/Slovakia/Inflation/" TargetMode="External"/><Relationship Id="rId53" Type="http://schemas.openxmlformats.org/officeDocument/2006/relationships/hyperlink" Target="https://www.theglobaleconomy.com/Austria/Inflation/" TargetMode="External"/><Relationship Id="rId74" Type="http://schemas.openxmlformats.org/officeDocument/2006/relationships/hyperlink" Target="https://www.theglobaleconomy.com/Namibia/Inflation/" TargetMode="External"/><Relationship Id="rId128" Type="http://schemas.openxmlformats.org/officeDocument/2006/relationships/hyperlink" Target="https://www.theglobaleconomy.com/Central-African-Republic/Inflation/" TargetMode="External"/><Relationship Id="rId149" Type="http://schemas.openxmlformats.org/officeDocument/2006/relationships/hyperlink" Target="https://www.theglobaleconomy.com/Djibouti/Inflation/" TargetMode="External"/><Relationship Id="rId5" Type="http://schemas.openxmlformats.org/officeDocument/2006/relationships/hyperlink" Target="https://www.theglobaleconomy.com/Iran/Inflation/" TargetMode="External"/><Relationship Id="rId95" Type="http://schemas.openxmlformats.org/officeDocument/2006/relationships/hyperlink" Target="https://www.theglobaleconomy.com/Brazil/Inflation/" TargetMode="External"/><Relationship Id="rId22" Type="http://schemas.openxmlformats.org/officeDocument/2006/relationships/hyperlink" Target="https://www.theglobaleconomy.com/Moldova/Inflation/" TargetMode="External"/><Relationship Id="rId43" Type="http://schemas.openxmlformats.org/officeDocument/2006/relationships/hyperlink" Target="https://www.theglobaleconomy.com/Tunisia/Inflation/" TargetMode="External"/><Relationship Id="rId64" Type="http://schemas.openxmlformats.org/officeDocument/2006/relationships/hyperlink" Target="https://www.theglobaleconomy.com/Peru/Inflation/" TargetMode="External"/><Relationship Id="rId118" Type="http://schemas.openxmlformats.org/officeDocument/2006/relationships/hyperlink" Target="https://www.theglobaleconomy.com/Gabon/Inflation/" TargetMode="External"/><Relationship Id="rId139" Type="http://schemas.openxmlformats.org/officeDocument/2006/relationships/hyperlink" Target="https://www.theglobaleconomy.com/Saudi-Arabia/Inflation/" TargetMode="External"/><Relationship Id="rId80" Type="http://schemas.openxmlformats.org/officeDocument/2006/relationships/hyperlink" Target="https://www.theglobaleconomy.com/Australia/Inflation/" TargetMode="External"/><Relationship Id="rId85" Type="http://schemas.openxmlformats.org/officeDocument/2006/relationships/hyperlink" Target="https://www.theglobaleconomy.com/Uganda/Inflation/" TargetMode="External"/><Relationship Id="rId150" Type="http://schemas.openxmlformats.org/officeDocument/2006/relationships/hyperlink" Target="https://www.theglobaleconomy.com/Panama/Inflation/" TargetMode="External"/><Relationship Id="rId155" Type="http://schemas.openxmlformats.org/officeDocument/2006/relationships/hyperlink" Target="https://www.theglobaleconomy.com/Macao/Inflation/" TargetMode="External"/><Relationship Id="rId12" Type="http://schemas.openxmlformats.org/officeDocument/2006/relationships/hyperlink" Target="https://www.theglobaleconomy.com/Malawi/Inflation/" TargetMode="External"/><Relationship Id="rId17" Type="http://schemas.openxmlformats.org/officeDocument/2006/relationships/hyperlink" Target="https://www.theglobaleconomy.com/Hungary/Inflation/" TargetMode="External"/><Relationship Id="rId33" Type="http://schemas.openxmlformats.org/officeDocument/2006/relationships/hyperlink" Target="https://www.theglobaleconomy.com/Romania/Inflation/" TargetMode="External"/><Relationship Id="rId38" Type="http://schemas.openxmlformats.org/officeDocument/2006/relationships/hyperlink" Target="https://www.theglobaleconomy.com/Barbados/Inflation/" TargetMode="External"/><Relationship Id="rId59" Type="http://schemas.openxmlformats.org/officeDocument/2006/relationships/hyperlink" Target="https://www.theglobaleconomy.com/Mauritius/Inflation/" TargetMode="External"/><Relationship Id="rId103" Type="http://schemas.openxmlformats.org/officeDocument/2006/relationships/hyperlink" Target="https://www.theglobaleconomy.com/Republic-of-the-Congo/Inflation/" TargetMode="External"/><Relationship Id="rId108" Type="http://schemas.openxmlformats.org/officeDocument/2006/relationships/hyperlink" Target="https://www.theglobaleconomy.com/USA/Inflation/" TargetMode="External"/><Relationship Id="rId124" Type="http://schemas.openxmlformats.org/officeDocument/2006/relationships/hyperlink" Target="https://www.theglobaleconomy.com/Denmark/Inflation/" TargetMode="External"/><Relationship Id="rId129" Type="http://schemas.openxmlformats.org/officeDocument/2006/relationships/hyperlink" Target="https://www.theglobaleconomy.com/Qatar/Inflation/" TargetMode="External"/><Relationship Id="rId54" Type="http://schemas.openxmlformats.org/officeDocument/2006/relationships/hyperlink" Target="https://www.theglobaleconomy.com/Guinea/Inflation/" TargetMode="External"/><Relationship Id="rId70" Type="http://schemas.openxmlformats.org/officeDocument/2006/relationships/hyperlink" Target="https://www.theglobaleconomy.com/Morocco/Inflation/" TargetMode="External"/><Relationship Id="rId75" Type="http://schemas.openxmlformats.org/officeDocument/2006/relationships/hyperlink" Target="https://www.theglobaleconomy.com/Palestine/Inflation/" TargetMode="External"/><Relationship Id="rId91" Type="http://schemas.openxmlformats.org/officeDocument/2006/relationships/hyperlink" Target="https://www.theglobaleconomy.com/France/Inflation/" TargetMode="External"/><Relationship Id="rId96" Type="http://schemas.openxmlformats.org/officeDocument/2006/relationships/hyperlink" Target="https://www.theglobaleconomy.com/Paraguay/Inflation/" TargetMode="External"/><Relationship Id="rId140" Type="http://schemas.openxmlformats.org/officeDocument/2006/relationships/hyperlink" Target="https://www.theglobaleconomy.com/Ecuador/Inflation/" TargetMode="External"/><Relationship Id="rId145" Type="http://schemas.openxmlformats.org/officeDocument/2006/relationships/hyperlink" Target="https://www.theglobaleconomy.com/Mali/Inflation/" TargetMode="External"/><Relationship Id="rId1" Type="http://schemas.openxmlformats.org/officeDocument/2006/relationships/hyperlink" Target="https://www.theglobaleconomy.com/Lebanon/Inflation/" TargetMode="External"/><Relationship Id="rId6" Type="http://schemas.openxmlformats.org/officeDocument/2006/relationships/hyperlink" Target="https://www.theglobaleconomy.com/Ghana/Inflation/" TargetMode="External"/><Relationship Id="rId23" Type="http://schemas.openxmlformats.org/officeDocument/2006/relationships/hyperlink" Target="https://www.theglobaleconomy.com/Palau/Inflation/" TargetMode="External"/><Relationship Id="rId28" Type="http://schemas.openxmlformats.org/officeDocument/2006/relationships/hyperlink" Target="https://www.theglobaleconomy.com/Zambia/Inflation/" TargetMode="External"/><Relationship Id="rId49" Type="http://schemas.openxmlformats.org/officeDocument/2006/relationships/hyperlink" Target="https://www.theglobaleconomy.com/Montenegro/Inflation/" TargetMode="External"/><Relationship Id="rId114" Type="http://schemas.openxmlformats.org/officeDocument/2006/relationships/hyperlink" Target="https://www.theglobaleconomy.com/Cape-Verde/Inflation/" TargetMode="External"/><Relationship Id="rId119" Type="http://schemas.openxmlformats.org/officeDocument/2006/relationships/hyperlink" Target="https://www.theglobaleconomy.com/Kuwait/Inflation/" TargetMode="External"/><Relationship Id="rId44" Type="http://schemas.openxmlformats.org/officeDocument/2006/relationships/hyperlink" Target="https://www.theglobaleconomy.com/Estonia/Inflation/" TargetMode="External"/><Relationship Id="rId60" Type="http://schemas.openxmlformats.org/officeDocument/2006/relationships/hyperlink" Target="https://www.theglobaleconomy.com/Mozambique/Inflation/" TargetMode="External"/><Relationship Id="rId65" Type="http://schemas.openxmlformats.org/officeDocument/2006/relationships/hyperlink" Target="https://www.theglobaleconomy.com/Tonga/Inflation/" TargetMode="External"/><Relationship Id="rId81" Type="http://schemas.openxmlformats.org/officeDocument/2006/relationships/hyperlink" Target="https://www.theglobaleconomy.com/India/Inflation/" TargetMode="External"/><Relationship Id="rId86" Type="http://schemas.openxmlformats.org/officeDocument/2006/relationships/hyperlink" Target="https://www.theglobaleconomy.com/Antigua-and-Barbuda/Inflation/" TargetMode="External"/><Relationship Id="rId130" Type="http://schemas.openxmlformats.org/officeDocument/2006/relationships/hyperlink" Target="https://www.theglobaleconomy.com/Maldives/Inflation/" TargetMode="External"/><Relationship Id="rId135" Type="http://schemas.openxmlformats.org/officeDocument/2006/relationships/hyperlink" Target="https://www.theglobaleconomy.com/Georgia/Inflation/" TargetMode="External"/><Relationship Id="rId151" Type="http://schemas.openxmlformats.org/officeDocument/2006/relationships/hyperlink" Target="https://www.theglobaleconomy.com/Thailand/Inflation/" TargetMode="External"/><Relationship Id="rId156" Type="http://schemas.openxmlformats.org/officeDocument/2006/relationships/hyperlink" Target="https://www.theglobaleconomy.com/Brunei/Inflation/" TargetMode="External"/><Relationship Id="rId13" Type="http://schemas.openxmlformats.org/officeDocument/2006/relationships/hyperlink" Target="https://www.theglobaleconomy.com/Burundi/Inflation/" TargetMode="External"/><Relationship Id="rId18" Type="http://schemas.openxmlformats.org/officeDocument/2006/relationships/hyperlink" Target="https://www.theglobaleconomy.com/Gambia/Inflation/" TargetMode="External"/><Relationship Id="rId39" Type="http://schemas.openxmlformats.org/officeDocument/2006/relationships/hyperlink" Target="https://www.theglobaleconomy.com/Bulgaria/Inflation/" TargetMode="External"/><Relationship Id="rId109" Type="http://schemas.openxmlformats.org/officeDocument/2006/relationships/hyperlink" Target="https://www.theglobaleconomy.com/Belgium/Inflation/" TargetMode="External"/><Relationship Id="rId34" Type="http://schemas.openxmlformats.org/officeDocument/2006/relationships/hyperlink" Target="https://www.theglobaleconomy.com/Mongolia/Inflation/" TargetMode="External"/><Relationship Id="rId50" Type="http://schemas.openxmlformats.org/officeDocument/2006/relationships/hyperlink" Target="https://www.theglobaleconomy.com/Sweden/Inflation/" TargetMode="External"/><Relationship Id="rId55" Type="http://schemas.openxmlformats.org/officeDocument/2006/relationships/hyperlink" Target="https://www.theglobaleconomy.com/Kenya/Inflation/" TargetMode="External"/><Relationship Id="rId76" Type="http://schemas.openxmlformats.org/officeDocument/2006/relationships/hyperlink" Target="https://www.theglobaleconomy.com/Senegal/Inflation/" TargetMode="External"/><Relationship Id="rId97" Type="http://schemas.openxmlformats.org/officeDocument/2006/relationships/hyperlink" Target="https://www.theglobaleconomy.com/Saint-Vincent-and-the-Grenadines/Inflation/" TargetMode="External"/><Relationship Id="rId104" Type="http://schemas.openxmlformats.org/officeDocument/2006/relationships/hyperlink" Target="https://www.theglobaleconomy.com/Bhutan/Inflation/" TargetMode="External"/><Relationship Id="rId120" Type="http://schemas.openxmlformats.org/officeDocument/2006/relationships/hyperlink" Target="https://www.theglobaleconomy.com/South-Korea/Inflation/" TargetMode="External"/><Relationship Id="rId125" Type="http://schemas.openxmlformats.org/officeDocument/2006/relationships/hyperlink" Target="https://www.theglobaleconomy.com/Japan/Inflation/" TargetMode="External"/><Relationship Id="rId141" Type="http://schemas.openxmlformats.org/officeDocument/2006/relationships/hyperlink" Target="https://www.theglobaleconomy.com/Cambodia/Inflation/" TargetMode="External"/><Relationship Id="rId146" Type="http://schemas.openxmlformats.org/officeDocument/2006/relationships/hyperlink" Target="https://www.theglobaleconomy.com/Switzerland/Inflation/" TargetMode="External"/><Relationship Id="rId7" Type="http://schemas.openxmlformats.org/officeDocument/2006/relationships/hyperlink" Target="https://www.theglobaleconomy.com/Haiti/Inflation/" TargetMode="External"/><Relationship Id="rId71" Type="http://schemas.openxmlformats.org/officeDocument/2006/relationships/hyperlink" Target="https://www.theglobaleconomy.com/South-Africa/Inflation/" TargetMode="External"/><Relationship Id="rId92" Type="http://schemas.openxmlformats.org/officeDocument/2006/relationships/hyperlink" Target="https://www.theglobaleconomy.com/Albania/Inflation/" TargetMode="External"/><Relationship Id="rId2" Type="http://schemas.openxmlformats.org/officeDocument/2006/relationships/hyperlink" Target="https://www.theglobaleconomy.com/Turkey/Inflation/" TargetMode="External"/><Relationship Id="rId29" Type="http://schemas.openxmlformats.org/officeDocument/2006/relationships/hyperlink" Target="https://www.theglobaleconomy.com/Chad/Inflation/" TargetMode="External"/><Relationship Id="rId24" Type="http://schemas.openxmlformats.org/officeDocument/2006/relationships/hyperlink" Target="https://www.theglobaleconomy.com/Ukraine/Inflation/" TargetMode="External"/><Relationship Id="rId40" Type="http://schemas.openxmlformats.org/officeDocument/2006/relationships/hyperlink" Target="https://www.theglobaleconomy.com/Macedonia/Inflation/" TargetMode="External"/><Relationship Id="rId45" Type="http://schemas.openxmlformats.org/officeDocument/2006/relationships/hyperlink" Target="https://www.theglobaleconomy.com/Lithuania/Inflation/" TargetMode="External"/><Relationship Id="rId66" Type="http://schemas.openxmlformats.org/officeDocument/2006/relationships/hyperlink" Target="https://www.theglobaleconomy.com/Finland/Inflation/" TargetMode="External"/><Relationship Id="rId87" Type="http://schemas.openxmlformats.org/officeDocument/2006/relationships/hyperlink" Target="https://www.theglobaleconomy.com/Botswana/Inflation/" TargetMode="External"/><Relationship Id="rId110" Type="http://schemas.openxmlformats.org/officeDocument/2006/relationships/hyperlink" Target="https://www.theglobaleconomy.com/El-Salvador/Inflation/" TargetMode="External"/><Relationship Id="rId115" Type="http://schemas.openxmlformats.org/officeDocument/2006/relationships/hyperlink" Target="https://www.theglobaleconomy.com/Indonesia/Inflation/" TargetMode="External"/><Relationship Id="rId131" Type="http://schemas.openxmlformats.org/officeDocument/2006/relationships/hyperlink" Target="https://www.theglobaleconomy.com/Guyana/Inflation/" TargetMode="External"/><Relationship Id="rId136" Type="http://schemas.openxmlformats.org/officeDocument/2006/relationships/hyperlink" Target="https://www.theglobaleconomy.com/Malaysia/Inflation/" TargetMode="External"/><Relationship Id="rId157" Type="http://schemas.openxmlformats.org/officeDocument/2006/relationships/hyperlink" Target="https://www.theglobaleconomy.com/China/Inflation/" TargetMode="External"/><Relationship Id="rId61" Type="http://schemas.openxmlformats.org/officeDocument/2006/relationships/hyperlink" Target="https://www.theglobaleconomy.com/Nepal/Inflation/" TargetMode="External"/><Relationship Id="rId82" Type="http://schemas.openxmlformats.org/officeDocument/2006/relationships/hyperlink" Target="https://www.theglobaleconomy.com/Italy/Inflation/" TargetMode="External"/><Relationship Id="rId152" Type="http://schemas.openxmlformats.org/officeDocument/2006/relationships/hyperlink" Target="https://www.theglobaleconomy.com/Oman/Inflation/" TargetMode="External"/><Relationship Id="rId19" Type="http://schemas.openxmlformats.org/officeDocument/2006/relationships/hyperlink" Target="https://www.theglobaleconomy.com/Sri-Lanka/Inflation/" TargetMode="External"/><Relationship Id="rId14" Type="http://schemas.openxmlformats.org/officeDocument/2006/relationships/hyperlink" Target="https://www.theglobaleconomy.com/Nigeria/Inflation/" TargetMode="External"/><Relationship Id="rId30" Type="http://schemas.openxmlformats.org/officeDocument/2006/relationships/hyperlink" Target="https://www.theglobaleconomy.com/Kyrgyzstan/Inflation/" TargetMode="External"/><Relationship Id="rId35" Type="http://schemas.openxmlformats.org/officeDocument/2006/relationships/hyperlink" Target="https://www.theglobaleconomy.com/Liberia/Inflation/" TargetMode="External"/><Relationship Id="rId56" Type="http://schemas.openxmlformats.org/officeDocument/2006/relationships/hyperlink" Target="https://www.theglobaleconomy.com/Chile/Inflation/" TargetMode="External"/><Relationship Id="rId77" Type="http://schemas.openxmlformats.org/officeDocument/2006/relationships/hyperlink" Target="https://www.theglobaleconomy.com/Solomon-Islands/Inflation/" TargetMode="External"/><Relationship Id="rId100" Type="http://schemas.openxmlformats.org/officeDocument/2006/relationships/hyperlink" Target="https://www.theglobaleconomy.com/Iraq/Inflation/" TargetMode="External"/><Relationship Id="rId105" Type="http://schemas.openxmlformats.org/officeDocument/2006/relationships/hyperlink" Target="https://www.theglobaleconomy.com/Dominica/Inflation/" TargetMode="External"/><Relationship Id="rId126" Type="http://schemas.openxmlformats.org/officeDocument/2006/relationships/hyperlink" Target="https://www.theglobaleconomy.com/Vietnam/Inflation/" TargetMode="External"/><Relationship Id="rId147" Type="http://schemas.openxmlformats.org/officeDocument/2006/relationships/hyperlink" Target="https://www.theglobaleconomy.com/Armenia/Inflation/" TargetMode="External"/><Relationship Id="rId8" Type="http://schemas.openxmlformats.org/officeDocument/2006/relationships/hyperlink" Target="https://www.theglobaleconomy.com/Egypt/Inflation/" TargetMode="External"/><Relationship Id="rId51" Type="http://schemas.openxmlformats.org/officeDocument/2006/relationships/hyperlink" Target="https://www.theglobaleconomy.com/Nicaragua/Inflation/" TargetMode="External"/><Relationship Id="rId72" Type="http://schemas.openxmlformats.org/officeDocument/2006/relationships/hyperlink" Target="https://www.theglobaleconomy.com/Philippines/Inflation/" TargetMode="External"/><Relationship Id="rId93" Type="http://schemas.openxmlformats.org/officeDocument/2006/relationships/hyperlink" Target="https://www.theglobaleconomy.com/Dominican-Republic/Inflation/" TargetMode="External"/><Relationship Id="rId98" Type="http://schemas.openxmlformats.org/officeDocument/2006/relationships/hyperlink" Target="https://www.theglobaleconomy.com/Trinidad-and-Tobago/Inflation/" TargetMode="External"/><Relationship Id="rId121" Type="http://schemas.openxmlformats.org/officeDocument/2006/relationships/hyperlink" Target="https://www.theglobaleconomy.com/Cyprus/Inflation/" TargetMode="External"/><Relationship Id="rId142" Type="http://schemas.openxmlformats.org/officeDocument/2006/relationships/hyperlink" Target="https://www.theglobaleconomy.com/Fiji/Inflation/" TargetMode="External"/><Relationship Id="rId3" Type="http://schemas.openxmlformats.org/officeDocument/2006/relationships/hyperlink" Target="https://www.theglobaleconomy.com/Suriname/Inflation/" TargetMode="External"/><Relationship Id="rId25" Type="http://schemas.openxmlformats.org/officeDocument/2006/relationships/hyperlink" Target="https://www.theglobaleconomy.com/Serbia/Inflation/" TargetMode="External"/><Relationship Id="rId46" Type="http://schemas.openxmlformats.org/officeDocument/2006/relationships/hyperlink" Target="https://www.theglobaleconomy.com/Latvia/Inflation/" TargetMode="External"/><Relationship Id="rId67" Type="http://schemas.openxmlformats.org/officeDocument/2006/relationships/hyperlink" Target="https://www.theglobaleconomy.com/Ireland/Inflation/" TargetMode="External"/><Relationship Id="rId116" Type="http://schemas.openxmlformats.org/officeDocument/2006/relationships/hyperlink" Target="https://www.theglobaleconomy.com/Luxembourg/Inflation/" TargetMode="External"/><Relationship Id="rId137" Type="http://schemas.openxmlformats.org/officeDocument/2006/relationships/hyperlink" Target="https://www.theglobaleconomy.com/Libya/Inflation/" TargetMode="External"/><Relationship Id="rId158" Type="http://schemas.openxmlformats.org/officeDocument/2006/relationships/hyperlink" Target="https://www.theglobaleconomy.com/Bahrain/Inflation/" TargetMode="External"/><Relationship Id="rId20" Type="http://schemas.openxmlformats.org/officeDocument/2006/relationships/hyperlink" Target="https://www.theglobaleconomy.com/Kazakhstan/Inflation/" TargetMode="External"/><Relationship Id="rId41" Type="http://schemas.openxmlformats.org/officeDocument/2006/relationships/hyperlink" Target="https://www.theglobaleconomy.com/Algeria/Inflation/" TargetMode="External"/><Relationship Id="rId62" Type="http://schemas.openxmlformats.org/officeDocument/2006/relationships/hyperlink" Target="https://www.theglobaleconomy.com/Honduras/Inflation/" TargetMode="External"/><Relationship Id="rId83" Type="http://schemas.openxmlformats.org/officeDocument/2006/relationships/hyperlink" Target="https://www.theglobaleconomy.com/Mexico/Inflation/" TargetMode="External"/><Relationship Id="rId88" Type="http://schemas.openxmlformats.org/officeDocument/2006/relationships/hyperlink" Target="https://www.theglobaleconomy.com/Malta/Inflation/" TargetMode="External"/><Relationship Id="rId111" Type="http://schemas.openxmlformats.org/officeDocument/2006/relationships/hyperlink" Target="https://www.theglobaleconomy.com/Canada/Inflation/" TargetMode="External"/><Relationship Id="rId132" Type="http://schemas.openxmlformats.org/officeDocument/2006/relationships/hyperlink" Target="https://www.theglobaleconomy.com/Benin/Inflation/" TargetMode="External"/><Relationship Id="rId153" Type="http://schemas.openxmlformats.org/officeDocument/2006/relationships/hyperlink" Target="https://www.theglobaleconomy.com/Burkina-Faso/Inflation/" TargetMode="External"/><Relationship Id="rId15" Type="http://schemas.openxmlformats.org/officeDocument/2006/relationships/hyperlink" Target="https://www.theglobaleconomy.com/Sao-Tome-and-Principe/Inflation/" TargetMode="External"/><Relationship Id="rId36" Type="http://schemas.openxmlformats.org/officeDocument/2006/relationships/hyperlink" Target="https://www.theglobaleconomy.com/Bangladesh/Inflation/" TargetMode="External"/><Relationship Id="rId57" Type="http://schemas.openxmlformats.org/officeDocument/2006/relationships/hyperlink" Target="https://www.theglobaleconomy.com/Cameroon/Inflation/" TargetMode="External"/><Relationship Id="rId106" Type="http://schemas.openxmlformats.org/officeDocument/2006/relationships/hyperlink" Target="https://www.theglobaleconomy.com/Israel/Inflation/" TargetMode="External"/><Relationship Id="rId127" Type="http://schemas.openxmlformats.org/officeDocument/2006/relationships/hyperlink" Target="https://www.theglobaleconomy.com/Bahamas/Inflation/" TargetMode="External"/><Relationship Id="rId10" Type="http://schemas.openxmlformats.org/officeDocument/2006/relationships/hyperlink" Target="https://www.theglobaleconomy.com/Pakistan/Inflation/" TargetMode="External"/><Relationship Id="rId31" Type="http://schemas.openxmlformats.org/officeDocument/2006/relationships/hyperlink" Target="https://www.theglobaleconomy.com/Czech-Republic/Inflation/" TargetMode="External"/><Relationship Id="rId52" Type="http://schemas.openxmlformats.org/officeDocument/2006/relationships/hyperlink" Target="https://www.theglobaleconomy.com/Croatia/Inflation/" TargetMode="External"/><Relationship Id="rId73" Type="http://schemas.openxmlformats.org/officeDocument/2006/relationships/hyperlink" Target="https://www.theglobaleconomy.com/Germany/Inflation/" TargetMode="External"/><Relationship Id="rId78" Type="http://schemas.openxmlformats.org/officeDocument/2006/relationships/hyperlink" Target="https://www.theglobaleconomy.com/Uruguay/Inflation/" TargetMode="External"/><Relationship Id="rId94" Type="http://schemas.openxmlformats.org/officeDocument/2006/relationships/hyperlink" Target="https://www.theglobaleconomy.com/Singapore/Inflation/" TargetMode="External"/><Relationship Id="rId99" Type="http://schemas.openxmlformats.org/officeDocument/2006/relationships/hyperlink" Target="https://www.theglobaleconomy.com/Belize/Inflation/" TargetMode="External"/><Relationship Id="rId101" Type="http://schemas.openxmlformats.org/officeDocument/2006/relationships/hyperlink" Target="https://www.theglobaleconomy.com/Ivory-Coast/Inflation/" TargetMode="External"/><Relationship Id="rId122" Type="http://schemas.openxmlformats.org/officeDocument/2006/relationships/hyperlink" Target="https://www.theglobaleconomy.com/Greece/Inflation/" TargetMode="External"/><Relationship Id="rId143" Type="http://schemas.openxmlformats.org/officeDocument/2006/relationships/hyperlink" Target="https://www.theglobaleconomy.com/Hong-Kong/Inflation/" TargetMode="External"/><Relationship Id="rId148" Type="http://schemas.openxmlformats.org/officeDocument/2006/relationships/hyperlink" Target="https://www.theglobaleconomy.com/United-Arab-Emirates/Inflation/" TargetMode="External"/><Relationship Id="rId4" Type="http://schemas.openxmlformats.org/officeDocument/2006/relationships/hyperlink" Target="https://www.theglobaleconomy.com/Sierra-Leone/Inflation/" TargetMode="External"/><Relationship Id="rId9" Type="http://schemas.openxmlformats.org/officeDocument/2006/relationships/hyperlink" Target="https://www.theglobaleconomy.com/Laos/Inflation/" TargetMode="External"/><Relationship Id="rId26" Type="http://schemas.openxmlformats.org/officeDocument/2006/relationships/hyperlink" Target="https://www.theglobaleconomy.com/Colombia/Inflation/" TargetMode="External"/><Relationship Id="rId47" Type="http://schemas.openxmlformats.org/officeDocument/2006/relationships/hyperlink" Target="https://www.theglobaleconomy.com/Azerbaijan/Inflation/" TargetMode="External"/><Relationship Id="rId68" Type="http://schemas.openxmlformats.org/officeDocument/2006/relationships/hyperlink" Target="https://www.theglobaleconomy.com/Lesotho/Inflation/" TargetMode="External"/><Relationship Id="rId89" Type="http://schemas.openxmlformats.org/officeDocument/2006/relationships/hyperlink" Target="https://www.theglobaleconomy.com/Belarus/Inflation/" TargetMode="External"/><Relationship Id="rId112" Type="http://schemas.openxmlformats.org/officeDocument/2006/relationships/hyperlink" Target="https://www.theglobaleconomy.com/Netherlands/Inflation/" TargetMode="External"/><Relationship Id="rId133" Type="http://schemas.openxmlformats.org/officeDocument/2006/relationships/hyperlink" Target="https://www.theglobaleconomy.com/Grenada/Inflation/" TargetMode="External"/><Relationship Id="rId154" Type="http://schemas.openxmlformats.org/officeDocument/2006/relationships/hyperlink" Target="https://www.theglobaleconomy.com/Costa-Rica/Inflation/" TargetMode="External"/><Relationship Id="rId16" Type="http://schemas.openxmlformats.org/officeDocument/2006/relationships/hyperlink" Target="https://www.theglobaleconomy.com/Rwanda/Inflation/" TargetMode="External"/><Relationship Id="rId37" Type="http://schemas.openxmlformats.org/officeDocument/2006/relationships/hyperlink" Target="https://www.theglobaleconomy.com/Madagascar/Inflation/" TargetMode="External"/><Relationship Id="rId58" Type="http://schemas.openxmlformats.org/officeDocument/2006/relationships/hyperlink" Target="https://www.theglobaleconomy.com/Slovenia/Inflation/" TargetMode="External"/><Relationship Id="rId79" Type="http://schemas.openxmlformats.org/officeDocument/2006/relationships/hyperlink" Target="https://www.theglobaleconomy.com/New-Zealand/Inflation/" TargetMode="External"/><Relationship Id="rId102" Type="http://schemas.openxmlformats.org/officeDocument/2006/relationships/hyperlink" Target="https://www.theglobaleconomy.com/Portugal/Inflation/" TargetMode="External"/><Relationship Id="rId123" Type="http://schemas.openxmlformats.org/officeDocument/2006/relationships/hyperlink" Target="https://www.theglobaleconomy.com/Spain/Inflation/" TargetMode="External"/><Relationship Id="rId144" Type="http://schemas.openxmlformats.org/officeDocument/2006/relationships/hyperlink" Target="https://www.theglobaleconomy.com/Jordan/Inflation/" TargetMode="External"/><Relationship Id="rId90" Type="http://schemas.openxmlformats.org/officeDocument/2006/relationships/hyperlink" Target="https://www.theglobaleconomy.com/Mauritania/Inflation/" TargetMode="External"/><Relationship Id="rId27" Type="http://schemas.openxmlformats.org/officeDocument/2006/relationships/hyperlink" Target="https://www.theglobaleconomy.com/Poland/Inflation/" TargetMode="External"/><Relationship Id="rId48" Type="http://schemas.openxmlformats.org/officeDocument/2006/relationships/hyperlink" Target="https://www.theglobaleconomy.com/Iceland/Inflation/" TargetMode="External"/><Relationship Id="rId69" Type="http://schemas.openxmlformats.org/officeDocument/2006/relationships/hyperlink" Target="https://www.theglobaleconomy.com/Bosnia-and-Herzegovina/Inflation/" TargetMode="External"/><Relationship Id="rId113" Type="http://schemas.openxmlformats.org/officeDocument/2006/relationships/hyperlink" Target="https://www.theglobaleconomy.com/Tanzania/Inflation/" TargetMode="External"/><Relationship Id="rId134" Type="http://schemas.openxmlformats.org/officeDocument/2006/relationships/hyperlink" Target="https://www.theglobaleconomy.com/Bolivia/Inf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FDF1-90BD-4F8D-989F-1247AF88AE3C}">
  <dimension ref="A1:B194"/>
  <sheetViews>
    <sheetView topLeftCell="A160" workbookViewId="0">
      <selection activeCell="G28" sqref="G28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0.38</v>
      </c>
    </row>
    <row r="3" spans="1:2">
      <c r="A3" t="s">
        <v>3</v>
      </c>
      <c r="B3">
        <v>0.38100000000000001</v>
      </c>
    </row>
    <row r="4" spans="1:2">
      <c r="A4" t="s">
        <v>4</v>
      </c>
      <c r="B4">
        <v>0.38700000000000001</v>
      </c>
    </row>
    <row r="5" spans="1:2">
      <c r="A5" t="s">
        <v>5</v>
      </c>
      <c r="B5">
        <v>0.39400000000000002</v>
      </c>
    </row>
    <row r="6" spans="1:2">
      <c r="A6" t="s">
        <v>6</v>
      </c>
      <c r="B6">
        <v>0.39400000000000002</v>
      </c>
    </row>
    <row r="7" spans="1:2">
      <c r="A7" t="s">
        <v>7</v>
      </c>
      <c r="B7">
        <v>0.41</v>
      </c>
    </row>
    <row r="8" spans="1:2">
      <c r="A8" t="s">
        <v>8</v>
      </c>
      <c r="B8">
        <v>0.42</v>
      </c>
    </row>
    <row r="9" spans="1:2">
      <c r="A9" t="s">
        <v>9</v>
      </c>
      <c r="B9">
        <v>0.42399999999999999</v>
      </c>
    </row>
    <row r="10" spans="1:2">
      <c r="A10" t="s">
        <v>10</v>
      </c>
      <c r="B10">
        <v>0.438</v>
      </c>
    </row>
    <row r="11" spans="1:2">
      <c r="A11" t="s">
        <v>11</v>
      </c>
      <c r="B11">
        <v>0.45800000000000002</v>
      </c>
    </row>
    <row r="12" spans="1:2">
      <c r="A12" t="s">
        <v>12</v>
      </c>
      <c r="B12">
        <v>0.46100000000000002</v>
      </c>
    </row>
    <row r="13" spans="1:2">
      <c r="A13" t="s">
        <v>13</v>
      </c>
      <c r="B13">
        <v>0.46200000000000002</v>
      </c>
    </row>
    <row r="14" spans="1:2">
      <c r="A14" t="s">
        <v>14</v>
      </c>
      <c r="B14">
        <v>0.47099999999999997</v>
      </c>
    </row>
    <row r="15" spans="1:2">
      <c r="A15" t="s">
        <v>15</v>
      </c>
      <c r="B15">
        <v>0.48099999999999998</v>
      </c>
    </row>
    <row r="16" spans="1:2">
      <c r="A16" t="s">
        <v>16</v>
      </c>
      <c r="B16">
        <v>0.48299999999999998</v>
      </c>
    </row>
    <row r="17" spans="1:2">
      <c r="A17" t="s">
        <v>17</v>
      </c>
      <c r="B17">
        <v>0.48699999999999999</v>
      </c>
    </row>
    <row r="18" spans="1:2">
      <c r="A18" t="s">
        <v>18</v>
      </c>
      <c r="B18">
        <v>0.48699999999999999</v>
      </c>
    </row>
    <row r="19" spans="1:2">
      <c r="A19" t="s">
        <v>19</v>
      </c>
      <c r="B19">
        <v>0.49199999999999999</v>
      </c>
    </row>
    <row r="20" spans="1:2">
      <c r="A20" t="s">
        <v>20</v>
      </c>
      <c r="B20">
        <v>0.49299999999999999</v>
      </c>
    </row>
    <row r="21" spans="1:2">
      <c r="A21" t="s">
        <v>21</v>
      </c>
      <c r="B21">
        <v>0.495</v>
      </c>
    </row>
    <row r="22" spans="1:2">
      <c r="A22" t="s">
        <v>22</v>
      </c>
      <c r="B22">
        <v>0.504</v>
      </c>
    </row>
    <row r="23" spans="1:2">
      <c r="A23" t="s">
        <v>23</v>
      </c>
      <c r="B23">
        <v>0.50800000000000001</v>
      </c>
    </row>
    <row r="24" spans="1:2">
      <c r="A24" t="s">
        <v>24</v>
      </c>
      <c r="B24">
        <v>0.51500000000000001</v>
      </c>
    </row>
    <row r="25" spans="1:2">
      <c r="A25" t="s">
        <v>25</v>
      </c>
      <c r="B25">
        <v>0.51600000000000001</v>
      </c>
    </row>
    <row r="26" spans="1:2">
      <c r="A26" t="s">
        <v>26</v>
      </c>
      <c r="B26">
        <v>0.51700000000000002</v>
      </c>
    </row>
    <row r="27" spans="1:2">
      <c r="A27" t="s">
        <v>27</v>
      </c>
      <c r="B27">
        <v>0.52100000000000002</v>
      </c>
    </row>
    <row r="28" spans="1:2">
      <c r="A28" t="s">
        <v>28</v>
      </c>
      <c r="B28">
        <v>0.53200000000000003</v>
      </c>
    </row>
    <row r="29" spans="1:2">
      <c r="A29" t="s">
        <v>29</v>
      </c>
      <c r="B29">
        <v>0.53400000000000003</v>
      </c>
    </row>
    <row r="30" spans="1:2">
      <c r="A30" t="s">
        <v>30</v>
      </c>
      <c r="B30">
        <v>0.54</v>
      </c>
    </row>
    <row r="31" spans="1:2">
      <c r="A31" t="s">
        <v>31</v>
      </c>
      <c r="B31">
        <v>0.54</v>
      </c>
    </row>
    <row r="32" spans="1:2">
      <c r="A32" t="s">
        <v>32</v>
      </c>
      <c r="B32">
        <v>0.54700000000000004</v>
      </c>
    </row>
    <row r="33" spans="1:2">
      <c r="A33" t="s">
        <v>33</v>
      </c>
      <c r="B33">
        <v>0.54800000000000004</v>
      </c>
    </row>
    <row r="34" spans="1:2">
      <c r="A34" t="s">
        <v>34</v>
      </c>
      <c r="B34">
        <v>0.54800000000000004</v>
      </c>
    </row>
    <row r="35" spans="1:2">
      <c r="A35" t="s">
        <v>35</v>
      </c>
      <c r="B35">
        <v>0.55000000000000004</v>
      </c>
    </row>
    <row r="36" spans="1:2">
      <c r="A36" t="s">
        <v>36</v>
      </c>
      <c r="B36">
        <v>0.55000000000000004</v>
      </c>
    </row>
    <row r="37" spans="1:2">
      <c r="A37" t="s">
        <v>37</v>
      </c>
      <c r="B37">
        <v>0.55200000000000005</v>
      </c>
    </row>
    <row r="38" spans="1:2">
      <c r="A38" t="s">
        <v>38</v>
      </c>
      <c r="B38">
        <v>0.55700000000000005</v>
      </c>
    </row>
    <row r="39" spans="1:2">
      <c r="A39" t="s">
        <v>39</v>
      </c>
      <c r="B39">
        <v>0.56200000000000006</v>
      </c>
    </row>
    <row r="40" spans="1:2">
      <c r="A40" t="s">
        <v>40</v>
      </c>
      <c r="B40">
        <v>0.56599999999999995</v>
      </c>
    </row>
    <row r="41" spans="1:2">
      <c r="A41" t="s">
        <v>41</v>
      </c>
      <c r="B41">
        <v>0.56799999999999995</v>
      </c>
    </row>
    <row r="42" spans="1:2">
      <c r="A42" t="s">
        <v>42</v>
      </c>
      <c r="B42">
        <v>0.56899999999999995</v>
      </c>
    </row>
    <row r="43" spans="1:2">
      <c r="A43" t="s">
        <v>43</v>
      </c>
      <c r="B43">
        <v>0.58599999999999997</v>
      </c>
    </row>
    <row r="44" spans="1:2">
      <c r="A44" t="s">
        <v>44</v>
      </c>
      <c r="B44">
        <v>0.58699999999999997</v>
      </c>
    </row>
    <row r="45" spans="1:2">
      <c r="A45" t="s">
        <v>45</v>
      </c>
      <c r="B45">
        <v>0.59099999999999997</v>
      </c>
    </row>
    <row r="46" spans="1:2">
      <c r="A46" t="s">
        <v>46</v>
      </c>
      <c r="B46">
        <v>0.59299999999999997</v>
      </c>
    </row>
    <row r="47" spans="1:2">
      <c r="A47" t="s">
        <v>47</v>
      </c>
      <c r="B47">
        <v>0.6</v>
      </c>
    </row>
    <row r="48" spans="1:2">
      <c r="A48" t="s">
        <v>48</v>
      </c>
      <c r="B48">
        <v>0.60099999999999998</v>
      </c>
    </row>
    <row r="49" spans="1:2">
      <c r="A49" t="s">
        <v>49</v>
      </c>
      <c r="B49">
        <v>0.60099999999999998</v>
      </c>
    </row>
    <row r="50" spans="1:2">
      <c r="A50" t="s">
        <v>50</v>
      </c>
      <c r="B50">
        <v>0.60199999999999998</v>
      </c>
    </row>
    <row r="51" spans="1:2">
      <c r="A51" t="s">
        <v>51</v>
      </c>
      <c r="B51">
        <v>0.60799999999999998</v>
      </c>
    </row>
    <row r="52" spans="1:2">
      <c r="A52" t="s">
        <v>52</v>
      </c>
      <c r="B52">
        <v>0.61</v>
      </c>
    </row>
    <row r="53" spans="1:2">
      <c r="A53" t="s">
        <v>53</v>
      </c>
      <c r="B53">
        <v>0.61</v>
      </c>
    </row>
    <row r="54" spans="1:2">
      <c r="A54" t="s">
        <v>54</v>
      </c>
      <c r="B54">
        <v>0.61299999999999999</v>
      </c>
    </row>
    <row r="55" spans="1:2">
      <c r="A55" t="s">
        <v>55</v>
      </c>
      <c r="B55">
        <v>0.61399999999999999</v>
      </c>
    </row>
    <row r="56" spans="1:2">
      <c r="A56" t="s">
        <v>56</v>
      </c>
      <c r="B56">
        <v>0.62</v>
      </c>
    </row>
    <row r="57" spans="1:2">
      <c r="A57" t="s">
        <v>57</v>
      </c>
      <c r="B57">
        <v>0.624</v>
      </c>
    </row>
    <row r="58" spans="1:2">
      <c r="A58" t="s">
        <v>58</v>
      </c>
      <c r="B58">
        <v>0.628</v>
      </c>
    </row>
    <row r="59" spans="1:2">
      <c r="A59" t="s">
        <v>59</v>
      </c>
      <c r="B59">
        <v>0.629</v>
      </c>
    </row>
    <row r="60" spans="1:2">
      <c r="A60" t="s">
        <v>60</v>
      </c>
      <c r="B60">
        <v>0.63400000000000001</v>
      </c>
    </row>
    <row r="61" spans="1:2">
      <c r="A61" t="s">
        <v>61</v>
      </c>
      <c r="B61">
        <v>0.64400000000000002</v>
      </c>
    </row>
    <row r="62" spans="1:2">
      <c r="A62" t="s">
        <v>62</v>
      </c>
      <c r="B62">
        <v>0.65</v>
      </c>
    </row>
    <row r="63" spans="1:2">
      <c r="A63" t="s">
        <v>63</v>
      </c>
      <c r="B63">
        <v>0.65300000000000002</v>
      </c>
    </row>
    <row r="64" spans="1:2">
      <c r="A64" t="s">
        <v>64</v>
      </c>
      <c r="B64">
        <v>0.66100000000000003</v>
      </c>
    </row>
    <row r="65" spans="1:2">
      <c r="A65" t="s">
        <v>65</v>
      </c>
      <c r="B65">
        <v>0.66900000000000004</v>
      </c>
    </row>
    <row r="66" spans="1:2">
      <c r="A66" t="s">
        <v>66</v>
      </c>
      <c r="B66">
        <v>0.67</v>
      </c>
    </row>
    <row r="67" spans="1:2">
      <c r="A67" t="s">
        <v>67</v>
      </c>
      <c r="B67">
        <v>0.67300000000000004</v>
      </c>
    </row>
    <row r="68" spans="1:2">
      <c r="A68" t="s">
        <v>68</v>
      </c>
      <c r="B68">
        <v>0.67400000000000004</v>
      </c>
    </row>
    <row r="69" spans="1:2">
      <c r="A69" t="s">
        <v>69</v>
      </c>
      <c r="B69">
        <v>0.67900000000000005</v>
      </c>
    </row>
    <row r="70" spans="1:2">
      <c r="A70" t="s">
        <v>70</v>
      </c>
      <c r="B70">
        <v>0.68100000000000005</v>
      </c>
    </row>
    <row r="71" spans="1:2">
      <c r="A71" t="s">
        <v>71</v>
      </c>
      <c r="B71">
        <v>0.69</v>
      </c>
    </row>
    <row r="72" spans="1:2">
      <c r="A72" t="s">
        <v>72</v>
      </c>
      <c r="B72">
        <v>0.69299999999999995</v>
      </c>
    </row>
    <row r="73" spans="1:2">
      <c r="A73" t="s">
        <v>73</v>
      </c>
      <c r="B73">
        <v>0.69599999999999995</v>
      </c>
    </row>
    <row r="74" spans="1:2">
      <c r="A74" t="s">
        <v>74</v>
      </c>
      <c r="B74">
        <v>0.69799999999999995</v>
      </c>
    </row>
    <row r="75" spans="1:2">
      <c r="A75" t="s">
        <v>75</v>
      </c>
      <c r="B75">
        <v>0.69799999999999995</v>
      </c>
    </row>
    <row r="76" spans="1:2">
      <c r="A76" t="s">
        <v>76</v>
      </c>
      <c r="B76">
        <v>0.69899999999999995</v>
      </c>
    </row>
    <row r="77" spans="1:2">
      <c r="A77" t="s">
        <v>77</v>
      </c>
      <c r="B77">
        <v>0.7</v>
      </c>
    </row>
    <row r="78" spans="1:2">
      <c r="A78" t="s">
        <v>78</v>
      </c>
      <c r="B78">
        <v>0.70099999999999996</v>
      </c>
    </row>
    <row r="79" spans="1:2">
      <c r="A79" t="s">
        <v>79</v>
      </c>
      <c r="B79">
        <v>0.70199999999999996</v>
      </c>
    </row>
    <row r="80" spans="1:2">
      <c r="A80" t="s">
        <v>80</v>
      </c>
      <c r="B80">
        <v>0.70599999999999996</v>
      </c>
    </row>
    <row r="81" spans="1:2">
      <c r="A81" t="s">
        <v>81</v>
      </c>
      <c r="B81">
        <v>0.70799999999999996</v>
      </c>
    </row>
    <row r="82" spans="1:2">
      <c r="A82" t="s">
        <v>82</v>
      </c>
      <c r="B82">
        <v>0.71</v>
      </c>
    </row>
    <row r="83" spans="1:2">
      <c r="A83" t="s">
        <v>83</v>
      </c>
      <c r="B83">
        <v>0.71299999999999997</v>
      </c>
    </row>
    <row r="84" spans="1:2">
      <c r="A84" t="s">
        <v>84</v>
      </c>
      <c r="B84">
        <v>0.71599999999999997</v>
      </c>
    </row>
    <row r="85" spans="1:2">
      <c r="A85" t="s">
        <v>85</v>
      </c>
      <c r="B85">
        <v>0.71699999999999997</v>
      </c>
    </row>
    <row r="86" spans="1:2">
      <c r="A86" t="s">
        <v>86</v>
      </c>
      <c r="B86">
        <v>0.72299999999999998</v>
      </c>
    </row>
    <row r="87" spans="1:2">
      <c r="A87" t="s">
        <v>87</v>
      </c>
      <c r="B87">
        <v>0.72499999999999998</v>
      </c>
    </row>
    <row r="88" spans="1:2">
      <c r="A88" t="s">
        <v>88</v>
      </c>
      <c r="B88">
        <v>0.72599999999999998</v>
      </c>
    </row>
    <row r="89" spans="1:2">
      <c r="A89" t="s">
        <v>89</v>
      </c>
      <c r="B89">
        <v>0.72699999999999998</v>
      </c>
    </row>
    <row r="90" spans="1:2">
      <c r="A90" t="s">
        <v>90</v>
      </c>
      <c r="B90">
        <v>0.72799999999999998</v>
      </c>
    </row>
    <row r="91" spans="1:2">
      <c r="A91" t="s">
        <v>91</v>
      </c>
      <c r="B91">
        <v>0.72899999999999998</v>
      </c>
    </row>
    <row r="92" spans="1:2">
      <c r="A92" t="s">
        <v>92</v>
      </c>
      <c r="B92">
        <v>0.73099999999999998</v>
      </c>
    </row>
    <row r="93" spans="1:2">
      <c r="A93" t="s">
        <v>93</v>
      </c>
      <c r="B93">
        <v>0.73099999999999998</v>
      </c>
    </row>
    <row r="94" spans="1:2">
      <c r="A94" t="s">
        <v>94</v>
      </c>
      <c r="B94">
        <v>0.73199999999999998</v>
      </c>
    </row>
    <row r="95" spans="1:2">
      <c r="A95" t="s">
        <v>95</v>
      </c>
      <c r="B95">
        <v>0.73399999999999999</v>
      </c>
    </row>
    <row r="96" spans="1:2">
      <c r="A96" t="s">
        <v>96</v>
      </c>
      <c r="B96">
        <v>0.73599999999999999</v>
      </c>
    </row>
    <row r="97" spans="1:2">
      <c r="A97" t="s">
        <v>97</v>
      </c>
      <c r="B97">
        <v>0.73899999999999999</v>
      </c>
    </row>
    <row r="98" spans="1:2">
      <c r="A98" t="s">
        <v>98</v>
      </c>
      <c r="B98">
        <v>0.74</v>
      </c>
    </row>
    <row r="99" spans="1:2">
      <c r="A99" t="s">
        <v>99</v>
      </c>
      <c r="B99">
        <v>0.74099999999999999</v>
      </c>
    </row>
    <row r="100" spans="1:2">
      <c r="A100" t="s">
        <v>100</v>
      </c>
      <c r="B100">
        <v>0.74199999999999999</v>
      </c>
    </row>
    <row r="101" spans="1:2">
      <c r="A101" t="s">
        <v>101</v>
      </c>
      <c r="B101">
        <v>0.74399999999999999</v>
      </c>
    </row>
    <row r="102" spans="1:2">
      <c r="A102" t="s">
        <v>102</v>
      </c>
      <c r="B102">
        <v>0.745</v>
      </c>
    </row>
    <row r="103" spans="1:2">
      <c r="A103" t="s">
        <v>103</v>
      </c>
      <c r="B103">
        <v>0.746</v>
      </c>
    </row>
    <row r="104" spans="1:2">
      <c r="A104" t="s">
        <v>104</v>
      </c>
      <c r="B104">
        <v>0.75800000000000001</v>
      </c>
    </row>
    <row r="105" spans="1:2">
      <c r="A105" t="s">
        <v>105</v>
      </c>
      <c r="B105">
        <v>0.76</v>
      </c>
    </row>
    <row r="106" spans="1:2">
      <c r="A106" t="s">
        <v>106</v>
      </c>
      <c r="B106">
        <v>0.76</v>
      </c>
    </row>
    <row r="107" spans="1:2">
      <c r="A107" t="s">
        <v>107</v>
      </c>
      <c r="B107">
        <v>0.76200000000000001</v>
      </c>
    </row>
    <row r="108" spans="1:2">
      <c r="A108" t="s">
        <v>108</v>
      </c>
      <c r="B108">
        <v>0.76200000000000001</v>
      </c>
    </row>
    <row r="109" spans="1:2">
      <c r="A109" t="s">
        <v>109</v>
      </c>
      <c r="B109">
        <v>0.76300000000000001</v>
      </c>
    </row>
    <row r="110" spans="1:2">
      <c r="A110" t="s">
        <v>110</v>
      </c>
      <c r="B110">
        <v>0.76400000000000001</v>
      </c>
    </row>
    <row r="111" spans="1:2">
      <c r="A111" t="s">
        <v>111</v>
      </c>
      <c r="B111">
        <v>0.76500000000000001</v>
      </c>
    </row>
    <row r="112" spans="1:2">
      <c r="A112" t="s">
        <v>112</v>
      </c>
      <c r="B112">
        <v>0.76500000000000001</v>
      </c>
    </row>
    <row r="113" spans="1:2">
      <c r="A113" t="s">
        <v>113</v>
      </c>
      <c r="B113">
        <v>0.76600000000000001</v>
      </c>
    </row>
    <row r="114" spans="1:2">
      <c r="A114" t="s">
        <v>114</v>
      </c>
      <c r="B114">
        <v>0.77200000000000002</v>
      </c>
    </row>
    <row r="115" spans="1:2">
      <c r="A115" t="s">
        <v>115</v>
      </c>
      <c r="B115">
        <v>0.77900000000000003</v>
      </c>
    </row>
    <row r="116" spans="1:2">
      <c r="A116" t="s">
        <v>116</v>
      </c>
      <c r="B116">
        <v>0.78</v>
      </c>
    </row>
    <row r="117" spans="1:2">
      <c r="A117" t="s">
        <v>117</v>
      </c>
      <c r="B117">
        <v>0.78</v>
      </c>
    </row>
    <row r="118" spans="1:2">
      <c r="A118" t="s">
        <v>118</v>
      </c>
      <c r="B118">
        <v>0.78100000000000003</v>
      </c>
    </row>
    <row r="119" spans="1:2">
      <c r="A119" t="s">
        <v>119</v>
      </c>
      <c r="B119">
        <v>0.78600000000000003</v>
      </c>
    </row>
    <row r="120" spans="1:2">
      <c r="A120" t="s">
        <v>120</v>
      </c>
      <c r="B120">
        <v>0.78800000000000003</v>
      </c>
    </row>
    <row r="121" spans="1:2">
      <c r="A121" t="s">
        <v>121</v>
      </c>
      <c r="B121">
        <v>0.78900000000000003</v>
      </c>
    </row>
    <row r="122" spans="1:2">
      <c r="A122" t="s">
        <v>122</v>
      </c>
      <c r="B122">
        <v>0.79300000000000004</v>
      </c>
    </row>
    <row r="123" spans="1:2">
      <c r="A123" t="s">
        <v>123</v>
      </c>
      <c r="B123">
        <v>0.79600000000000004</v>
      </c>
    </row>
    <row r="124" spans="1:2">
      <c r="A124" t="s">
        <v>124</v>
      </c>
      <c r="B124">
        <v>0.79700000000000004</v>
      </c>
    </row>
    <row r="125" spans="1:2">
      <c r="A125" t="s">
        <v>125</v>
      </c>
      <c r="B125">
        <v>0.79900000000000004</v>
      </c>
    </row>
    <row r="126" spans="1:2">
      <c r="A126" t="s">
        <v>126</v>
      </c>
      <c r="B126">
        <v>0.80100000000000005</v>
      </c>
    </row>
    <row r="127" spans="1:2">
      <c r="A127" t="s">
        <v>127</v>
      </c>
      <c r="B127">
        <v>0.80200000000000005</v>
      </c>
    </row>
    <row r="128" spans="1:2">
      <c r="A128" t="s">
        <v>128</v>
      </c>
      <c r="B128">
        <v>0.80200000000000005</v>
      </c>
    </row>
    <row r="129" spans="1:2">
      <c r="A129" t="s">
        <v>129</v>
      </c>
      <c r="B129">
        <v>0.80300000000000005</v>
      </c>
    </row>
    <row r="130" spans="1:2">
      <c r="A130" t="s">
        <v>130</v>
      </c>
      <c r="B130">
        <v>0.80500000000000005</v>
      </c>
    </row>
    <row r="131" spans="1:2">
      <c r="A131" t="s">
        <v>131</v>
      </c>
      <c r="B131">
        <v>0.80600000000000005</v>
      </c>
    </row>
    <row r="132" spans="1:2">
      <c r="A132" t="s">
        <v>132</v>
      </c>
      <c r="B132">
        <v>0.80700000000000005</v>
      </c>
    </row>
    <row r="133" spans="1:2">
      <c r="A133" t="s">
        <v>133</v>
      </c>
      <c r="B133">
        <v>0.80900000000000005</v>
      </c>
    </row>
    <row r="134" spans="1:2">
      <c r="A134" t="s">
        <v>134</v>
      </c>
      <c r="B134">
        <v>0.81399999999999995</v>
      </c>
    </row>
    <row r="135" spans="1:2">
      <c r="A135" t="s">
        <v>135</v>
      </c>
      <c r="B135">
        <v>0.81399999999999995</v>
      </c>
    </row>
    <row r="136" spans="1:2">
      <c r="A136" t="s">
        <v>136</v>
      </c>
      <c r="B136">
        <v>0.81899999999999995</v>
      </c>
    </row>
    <row r="137" spans="1:2">
      <c r="A137" t="s">
        <v>137</v>
      </c>
      <c r="B137">
        <v>0.82</v>
      </c>
    </row>
    <row r="138" spans="1:2">
      <c r="A138" t="s">
        <v>138</v>
      </c>
      <c r="B138">
        <v>0.82</v>
      </c>
    </row>
    <row r="139" spans="1:2">
      <c r="A139" t="s">
        <v>139</v>
      </c>
      <c r="B139">
        <v>0.82099999999999995</v>
      </c>
    </row>
    <row r="140" spans="1:2">
      <c r="A140" t="s">
        <v>140</v>
      </c>
      <c r="B140">
        <v>0.82299999999999995</v>
      </c>
    </row>
    <row r="141" spans="1:2">
      <c r="A141" t="s">
        <v>141</v>
      </c>
      <c r="B141">
        <v>0.82599999999999996</v>
      </c>
    </row>
    <row r="142" spans="1:2">
      <c r="A142" t="s">
        <v>142</v>
      </c>
      <c r="B142">
        <v>0.82699999999999996</v>
      </c>
    </row>
    <row r="143" spans="1:2">
      <c r="A143" t="s">
        <v>143</v>
      </c>
      <c r="B143">
        <v>0.83</v>
      </c>
    </row>
    <row r="144" spans="1:2">
      <c r="A144" t="s">
        <v>144</v>
      </c>
      <c r="B144">
        <v>0.83799999999999997</v>
      </c>
    </row>
    <row r="145" spans="1:2">
      <c r="A145" t="s">
        <v>145</v>
      </c>
      <c r="B145">
        <v>0.84399999999999997</v>
      </c>
    </row>
    <row r="146" spans="1:2">
      <c r="A146" t="s">
        <v>146</v>
      </c>
      <c r="B146">
        <v>0.84699999999999998</v>
      </c>
    </row>
    <row r="147" spans="1:2">
      <c r="A147" t="s">
        <v>147</v>
      </c>
      <c r="B147">
        <v>0.84899999999999998</v>
      </c>
    </row>
    <row r="148" spans="1:2">
      <c r="A148" t="s">
        <v>148</v>
      </c>
      <c r="B148">
        <v>0.85099999999999998</v>
      </c>
    </row>
    <row r="149" spans="1:2">
      <c r="A149" t="s">
        <v>149</v>
      </c>
      <c r="B149">
        <v>0.85499999999999998</v>
      </c>
    </row>
    <row r="150" spans="1:2">
      <c r="A150" t="s">
        <v>150</v>
      </c>
      <c r="B150">
        <v>0.85499999999999998</v>
      </c>
    </row>
    <row r="151" spans="1:2">
      <c r="A151" t="s">
        <v>151</v>
      </c>
      <c r="B151">
        <v>0.86</v>
      </c>
    </row>
    <row r="152" spans="1:2">
      <c r="A152" t="s">
        <v>152</v>
      </c>
      <c r="B152">
        <v>0.86699999999999999</v>
      </c>
    </row>
    <row r="153" spans="1:2">
      <c r="A153" t="s">
        <v>153</v>
      </c>
      <c r="B153">
        <v>0.874</v>
      </c>
    </row>
    <row r="154" spans="1:2">
      <c r="A154" t="s">
        <v>154</v>
      </c>
      <c r="B154">
        <v>0.875</v>
      </c>
    </row>
    <row r="155" spans="1:2">
      <c r="A155" t="s">
        <v>155</v>
      </c>
      <c r="B155">
        <v>0.875</v>
      </c>
    </row>
    <row r="156" spans="1:2">
      <c r="A156" t="s">
        <v>156</v>
      </c>
      <c r="B156">
        <v>0.878</v>
      </c>
    </row>
    <row r="157" spans="1:2">
      <c r="A157" t="s">
        <v>157</v>
      </c>
      <c r="B157">
        <v>0.879</v>
      </c>
    </row>
    <row r="158" spans="1:2">
      <c r="A158" t="s">
        <v>158</v>
      </c>
      <c r="B158">
        <v>0.879</v>
      </c>
    </row>
    <row r="159" spans="1:2">
      <c r="A159" t="s">
        <v>159</v>
      </c>
      <c r="B159">
        <v>0.88100000000000001</v>
      </c>
    </row>
    <row r="160" spans="1:2">
      <c r="A160" t="s">
        <v>160</v>
      </c>
      <c r="B160">
        <v>0.88400000000000001</v>
      </c>
    </row>
    <row r="161" spans="1:2">
      <c r="A161" t="s">
        <v>161</v>
      </c>
      <c r="B161">
        <v>0.88800000000000001</v>
      </c>
    </row>
    <row r="162" spans="1:2">
      <c r="A162" t="s">
        <v>162</v>
      </c>
      <c r="B162">
        <v>0.89300000000000002</v>
      </c>
    </row>
    <row r="163" spans="1:2">
      <c r="A163" t="s">
        <v>163</v>
      </c>
      <c r="B163">
        <v>0.89500000000000002</v>
      </c>
    </row>
    <row r="164" spans="1:2">
      <c r="A164" t="s">
        <v>164</v>
      </c>
      <c r="B164">
        <v>0.89900000000000002</v>
      </c>
    </row>
    <row r="165" spans="1:2">
      <c r="A165" t="s">
        <v>165</v>
      </c>
      <c r="B165">
        <v>0.90600000000000003</v>
      </c>
    </row>
    <row r="166" spans="1:2">
      <c r="A166" t="s">
        <v>166</v>
      </c>
      <c r="B166">
        <v>0.90700000000000003</v>
      </c>
    </row>
    <row r="167" spans="1:2">
      <c r="A167" t="s">
        <v>167</v>
      </c>
      <c r="B167">
        <v>0.91</v>
      </c>
    </row>
    <row r="168" spans="1:2">
      <c r="A168" t="s">
        <v>168</v>
      </c>
      <c r="B168">
        <v>0.91100000000000003</v>
      </c>
    </row>
    <row r="169" spans="1:2">
      <c r="A169" t="s">
        <v>169</v>
      </c>
      <c r="B169">
        <v>0.91500000000000004</v>
      </c>
    </row>
    <row r="170" spans="1:2">
      <c r="A170" t="s">
        <v>170</v>
      </c>
      <c r="B170">
        <v>0.91500000000000004</v>
      </c>
    </row>
    <row r="171" spans="1:2">
      <c r="A171" t="s">
        <v>171</v>
      </c>
      <c r="B171">
        <v>0.92</v>
      </c>
    </row>
    <row r="172" spans="1:2">
      <c r="A172" t="s">
        <v>172</v>
      </c>
      <c r="B172">
        <v>0.92600000000000005</v>
      </c>
    </row>
    <row r="173" spans="1:2">
      <c r="A173" t="s">
        <v>173</v>
      </c>
      <c r="B173">
        <v>0.92600000000000005</v>
      </c>
    </row>
    <row r="174" spans="1:2">
      <c r="A174" t="s">
        <v>174</v>
      </c>
      <c r="B174">
        <v>0.92700000000000005</v>
      </c>
    </row>
    <row r="175" spans="1:2">
      <c r="A175" t="s">
        <v>175</v>
      </c>
      <c r="B175">
        <v>0.92700000000000005</v>
      </c>
    </row>
    <row r="176" spans="1:2">
      <c r="A176" t="s">
        <v>176</v>
      </c>
      <c r="B176">
        <v>0.92900000000000005</v>
      </c>
    </row>
    <row r="177" spans="1:2">
      <c r="A177" t="s">
        <v>177</v>
      </c>
      <c r="B177">
        <v>0.93500000000000005</v>
      </c>
    </row>
    <row r="178" spans="1:2">
      <c r="A178" t="s">
        <v>178</v>
      </c>
      <c r="B178">
        <v>0.93700000000000006</v>
      </c>
    </row>
    <row r="179" spans="1:2">
      <c r="A179" t="s">
        <v>179</v>
      </c>
      <c r="B179">
        <v>0.93899999999999995</v>
      </c>
    </row>
    <row r="180" spans="1:2">
      <c r="A180" t="s">
        <v>180</v>
      </c>
      <c r="B180">
        <v>0.94</v>
      </c>
    </row>
    <row r="181" spans="1:2">
      <c r="A181" t="s">
        <v>181</v>
      </c>
      <c r="B181">
        <v>0.94199999999999995</v>
      </c>
    </row>
    <row r="182" spans="1:2">
      <c r="A182" t="s">
        <v>182</v>
      </c>
      <c r="B182">
        <v>0.94199999999999995</v>
      </c>
    </row>
    <row r="183" spans="1:2">
      <c r="A183" t="s">
        <v>183</v>
      </c>
      <c r="B183">
        <v>0.94199999999999995</v>
      </c>
    </row>
    <row r="184" spans="1:2">
      <c r="A184" t="s">
        <v>184</v>
      </c>
      <c r="B184">
        <v>0.94599999999999995</v>
      </c>
    </row>
    <row r="185" spans="1:2">
      <c r="A185" t="s">
        <v>185</v>
      </c>
      <c r="B185">
        <v>0.94599999999999995</v>
      </c>
    </row>
    <row r="186" spans="1:2">
      <c r="A186" t="s">
        <v>186</v>
      </c>
      <c r="B186">
        <v>0.94899999999999995</v>
      </c>
    </row>
    <row r="187" spans="1:2">
      <c r="A187" t="s">
        <v>187</v>
      </c>
      <c r="B187">
        <v>0.95</v>
      </c>
    </row>
    <row r="188" spans="1:2">
      <c r="A188" t="s">
        <v>188</v>
      </c>
      <c r="B188">
        <v>0.95</v>
      </c>
    </row>
    <row r="189" spans="1:2">
      <c r="A189" t="s">
        <v>189</v>
      </c>
      <c r="B189">
        <v>0.95199999999999996</v>
      </c>
    </row>
    <row r="190" spans="1:2">
      <c r="A190" t="s">
        <v>190</v>
      </c>
      <c r="B190">
        <v>0.95199999999999996</v>
      </c>
    </row>
    <row r="191" spans="1:2">
      <c r="A191" t="s">
        <v>191</v>
      </c>
      <c r="B191">
        <v>0.95599999999999996</v>
      </c>
    </row>
    <row r="192" spans="1:2">
      <c r="A192" t="s">
        <v>192</v>
      </c>
      <c r="B192">
        <v>0.95899999999999996</v>
      </c>
    </row>
    <row r="193" spans="1:2">
      <c r="A193" t="s">
        <v>193</v>
      </c>
      <c r="B193">
        <v>0.96599999999999997</v>
      </c>
    </row>
    <row r="194" spans="1:2">
      <c r="A194" t="s">
        <v>194</v>
      </c>
      <c r="B194">
        <v>0.96699999999999997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2ABA-26FD-49C9-B8A3-7FBE8A4E9F37}">
  <dimension ref="A1:B23"/>
  <sheetViews>
    <sheetView topLeftCell="A2" workbookViewId="0">
      <selection activeCell="A23" sqref="A23"/>
    </sheetView>
  </sheetViews>
  <sheetFormatPr baseColWidth="10" defaultColWidth="8.83203125" defaultRowHeight="15"/>
  <cols>
    <col min="2" max="2" width="10.1640625" style="1" bestFit="1" customWidth="1"/>
  </cols>
  <sheetData>
    <row r="1" spans="1:2">
      <c r="A1" t="s">
        <v>195</v>
      </c>
    </row>
    <row r="2" spans="1:2">
      <c r="A2" t="s">
        <v>196</v>
      </c>
    </row>
    <row r="3" spans="1:2">
      <c r="A3" t="s">
        <v>197</v>
      </c>
      <c r="B3" s="1" t="s">
        <v>198</v>
      </c>
    </row>
    <row r="4" spans="1:2">
      <c r="A4" t="s">
        <v>175</v>
      </c>
      <c r="B4" s="1">
        <v>63084.019469999999</v>
      </c>
    </row>
    <row r="5" spans="1:2">
      <c r="A5" t="s">
        <v>174</v>
      </c>
      <c r="B5" s="1">
        <v>50501.348720000002</v>
      </c>
    </row>
    <row r="6" spans="1:2">
      <c r="A6" t="s">
        <v>194</v>
      </c>
      <c r="B6" s="1">
        <v>47123.850180000001</v>
      </c>
    </row>
    <row r="7" spans="1:2">
      <c r="A7" t="s">
        <v>187</v>
      </c>
      <c r="B7" s="1">
        <v>42417.403769999997</v>
      </c>
    </row>
    <row r="8" spans="1:2">
      <c r="A8" t="s">
        <v>185</v>
      </c>
      <c r="B8" s="1">
        <v>41199.646580000001</v>
      </c>
    </row>
    <row r="9" spans="1:2">
      <c r="A9" t="s">
        <v>172</v>
      </c>
      <c r="B9" s="1">
        <v>40933.733469999999</v>
      </c>
    </row>
    <row r="10" spans="1:2">
      <c r="A10" t="s">
        <v>183</v>
      </c>
      <c r="B10" s="1">
        <v>37365.363010000001</v>
      </c>
    </row>
    <row r="11" spans="1:2">
      <c r="A11" t="s">
        <v>184</v>
      </c>
      <c r="B11" s="1">
        <v>36367.8681</v>
      </c>
    </row>
    <row r="12" spans="1:2">
      <c r="A12" t="s">
        <v>180</v>
      </c>
      <c r="B12" s="1">
        <v>36196.550320000002</v>
      </c>
    </row>
    <row r="13" spans="1:2">
      <c r="A13" t="s">
        <v>177</v>
      </c>
      <c r="B13" s="1">
        <v>35560.62371</v>
      </c>
    </row>
    <row r="14" spans="1:2">
      <c r="A14" t="s">
        <v>167</v>
      </c>
      <c r="B14" s="1">
        <v>35000.876129999997</v>
      </c>
    </row>
    <row r="15" spans="1:2">
      <c r="A15" t="s">
        <v>165</v>
      </c>
      <c r="B15" s="1">
        <v>34673.923779999997</v>
      </c>
    </row>
    <row r="16" spans="1:2">
      <c r="A16" t="s">
        <v>182</v>
      </c>
      <c r="B16" s="1">
        <v>33014.483419999997</v>
      </c>
    </row>
    <row r="17" spans="1:2">
      <c r="A17" t="s">
        <v>188</v>
      </c>
      <c r="B17" s="1">
        <v>32213.277109999999</v>
      </c>
    </row>
    <row r="18" spans="1:2">
      <c r="A18" t="s">
        <v>189</v>
      </c>
      <c r="B18" s="1">
        <v>31849.672900000001</v>
      </c>
    </row>
    <row r="19" spans="1:2">
      <c r="A19" t="s">
        <v>168</v>
      </c>
      <c r="B19" s="1">
        <v>31193.457170000001</v>
      </c>
    </row>
    <row r="20" spans="1:2">
      <c r="A20" t="s">
        <v>190</v>
      </c>
      <c r="B20" s="1">
        <v>30101.187870000002</v>
      </c>
    </row>
    <row r="23" spans="1:2">
      <c r="A23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E67-8B30-4E30-84AC-50A337C30F01}">
  <sheetPr>
    <tabColor rgb="FF00B050"/>
  </sheetPr>
  <dimension ref="A1:BD188"/>
  <sheetViews>
    <sheetView showGridLines="0" tabSelected="1" topLeftCell="K1" zoomScale="83" zoomScaleNormal="83" workbookViewId="0">
      <selection activeCell="M32" sqref="M32:T32"/>
    </sheetView>
  </sheetViews>
  <sheetFormatPr baseColWidth="10" defaultColWidth="8.83203125" defaultRowHeight="15" customHeight="1"/>
  <cols>
    <col min="1" max="1" width="11.5" customWidth="1"/>
    <col min="2" max="2" width="12.33203125" bestFit="1" customWidth="1"/>
    <col min="3" max="4" width="11.5" bestFit="1" customWidth="1"/>
    <col min="5" max="5" width="10.5" bestFit="1" customWidth="1"/>
    <col min="6" max="6" width="11.5" bestFit="1" customWidth="1"/>
    <col min="7" max="7" width="15.33203125" bestFit="1" customWidth="1"/>
    <col min="8" max="8" width="14.1640625" bestFit="1" customWidth="1"/>
    <col min="9" max="9" width="10.6640625" customWidth="1"/>
    <col min="10" max="10" width="16.83203125" bestFit="1" customWidth="1"/>
    <col min="11" max="11" width="8.6640625" bestFit="1" customWidth="1"/>
    <col min="12" max="12" width="13.83203125" bestFit="1" customWidth="1"/>
    <col min="13" max="22" width="17.1640625" customWidth="1"/>
    <col min="23" max="23" width="3.33203125" customWidth="1"/>
    <col min="24" max="25" width="17.1640625" customWidth="1"/>
    <col min="26" max="26" width="14.83203125" bestFit="1" customWidth="1"/>
    <col min="27" max="27" width="15.83203125" hidden="1" customWidth="1"/>
    <col min="28" max="28" width="14.1640625" hidden="1" customWidth="1"/>
    <col min="29" max="29" width="14.83203125" hidden="1" customWidth="1"/>
    <col min="30" max="30" width="14.1640625" hidden="1" customWidth="1"/>
    <col min="31" max="31" width="2.83203125" customWidth="1"/>
    <col min="32" max="32" width="8.83203125" style="147"/>
    <col min="33" max="33" width="53.6640625" style="147" customWidth="1"/>
    <col min="34" max="34" width="9.1640625" style="147" customWidth="1"/>
    <col min="35" max="35" width="8.6640625" style="147" bestFit="1" customWidth="1"/>
    <col min="36" max="36" width="16.5" style="147" customWidth="1"/>
    <col min="37" max="37" width="15.83203125" style="147" bestFit="1" customWidth="1"/>
    <col min="38" max="39" width="15.83203125" style="147" customWidth="1"/>
    <col min="40" max="40" width="26.5" style="147" customWidth="1"/>
    <col min="41" max="41" width="23.1640625" style="147" customWidth="1"/>
    <col min="42" max="42" width="19.5" customWidth="1"/>
    <col min="43" max="43" width="11.33203125" customWidth="1"/>
    <col min="44" max="45" width="8.6640625" bestFit="1" customWidth="1"/>
    <col min="46" max="46" width="14.6640625" bestFit="1" customWidth="1"/>
    <col min="47" max="47" width="8.6640625" bestFit="1" customWidth="1"/>
    <col min="48" max="53" width="8.6640625" style="39" bestFit="1" customWidth="1"/>
    <col min="54" max="55" width="15.5" style="39" bestFit="1" customWidth="1"/>
    <col min="56" max="56" width="8.6640625" style="39"/>
  </cols>
  <sheetData>
    <row r="1" spans="1:56" ht="39.5" customHeight="1">
      <c r="L1" s="156"/>
      <c r="M1" s="143"/>
      <c r="N1" s="143"/>
      <c r="O1" s="61"/>
      <c r="P1" s="61"/>
      <c r="Q1" s="61"/>
      <c r="R1" s="157"/>
      <c r="S1" s="157"/>
      <c r="T1" s="157"/>
      <c r="U1" s="157"/>
      <c r="V1" s="157"/>
      <c r="X1" s="158" t="s">
        <v>200</v>
      </c>
      <c r="Y1" s="163"/>
      <c r="Z1" s="222">
        <v>350000000</v>
      </c>
      <c r="AA1" s="1"/>
      <c r="AB1" s="1"/>
      <c r="AC1" s="1"/>
      <c r="AD1" s="1"/>
      <c r="AE1" s="1"/>
      <c r="AG1" s="147" t="s">
        <v>604</v>
      </c>
      <c r="AN1" s="153"/>
      <c r="AQ1" s="97"/>
    </row>
    <row r="2" spans="1:56" s="40" customFormat="1" ht="58" customHeight="1">
      <c r="A2" s="40" t="s">
        <v>202</v>
      </c>
      <c r="B2" s="40" t="s">
        <v>203</v>
      </c>
      <c r="C2" s="40" t="s">
        <v>360</v>
      </c>
      <c r="D2" s="40" t="s">
        <v>359</v>
      </c>
      <c r="E2" s="40" t="s">
        <v>361</v>
      </c>
      <c r="F2" s="40" t="s">
        <v>362</v>
      </c>
      <c r="G2" s="40" t="s">
        <v>208</v>
      </c>
      <c r="H2" s="40" t="s">
        <v>209</v>
      </c>
      <c r="I2" s="40" t="s">
        <v>210</v>
      </c>
      <c r="J2" s="40" t="s">
        <v>211</v>
      </c>
      <c r="L2" s="159" t="s">
        <v>212</v>
      </c>
      <c r="M2" s="160" t="s">
        <v>213</v>
      </c>
      <c r="N2" s="160" t="s">
        <v>214</v>
      </c>
      <c r="O2" s="160" t="s">
        <v>607</v>
      </c>
      <c r="P2" s="160" t="str">
        <f>GDP!D1</f>
        <v>GDP - Growth</v>
      </c>
      <c r="Q2" s="160" t="str">
        <f>DPI!B1</f>
        <v>Disposable Personal Income (USD)</v>
      </c>
      <c r="R2" s="160" t="str">
        <f>'Cost of Media'!B1</f>
        <v>Media Cost</v>
      </c>
      <c r="S2" s="160" t="s">
        <v>608</v>
      </c>
      <c r="T2" s="160" t="s">
        <v>218</v>
      </c>
      <c r="U2" s="160" t="s">
        <v>216</v>
      </c>
      <c r="V2" s="160" t="s">
        <v>609</v>
      </c>
      <c r="W2"/>
      <c r="X2" s="165" t="s">
        <v>228</v>
      </c>
      <c r="Y2" s="165" t="s">
        <v>603</v>
      </c>
      <c r="Z2" s="166" t="s">
        <v>218</v>
      </c>
      <c r="AA2"/>
      <c r="AB2" s="147"/>
      <c r="AC2" s="147"/>
      <c r="AD2"/>
      <c r="AE2"/>
      <c r="AF2" s="147"/>
      <c r="AG2" s="147" t="s">
        <v>605</v>
      </c>
      <c r="AH2" s="148"/>
      <c r="AI2" s="148"/>
      <c r="AJ2" s="149"/>
      <c r="AK2" s="149"/>
      <c r="AL2" s="149"/>
      <c r="AM2" s="149"/>
      <c r="AN2" s="154"/>
      <c r="AO2" s="149"/>
      <c r="AP2" s="41"/>
      <c r="AV2" s="43"/>
      <c r="AW2" s="43"/>
      <c r="AX2" s="44"/>
      <c r="AY2" s="44"/>
      <c r="AZ2" s="44"/>
      <c r="BA2" s="44"/>
      <c r="BB2" s="44"/>
      <c r="BC2" s="44"/>
      <c r="BD2" s="44"/>
    </row>
    <row r="3" spans="1:56" s="40" customFormat="1" ht="18" customHeight="1">
      <c r="A3" s="184">
        <f>B3/G3</f>
        <v>0.40366969162995597</v>
      </c>
      <c r="B3" s="137">
        <v>4581651</v>
      </c>
      <c r="C3" s="40">
        <v>18791890</v>
      </c>
      <c r="D3" s="40">
        <v>69430</v>
      </c>
      <c r="E3" s="40">
        <v>9975490</v>
      </c>
      <c r="F3" s="40">
        <v>85740</v>
      </c>
      <c r="G3" s="137">
        <v>11350000</v>
      </c>
      <c r="H3" s="137">
        <v>18906000</v>
      </c>
      <c r="I3" s="137">
        <v>2000</v>
      </c>
      <c r="J3" s="137">
        <v>230</v>
      </c>
      <c r="L3" s="161" t="s">
        <v>322</v>
      </c>
      <c r="M3" s="223">
        <v>5.8321579357472704</v>
      </c>
      <c r="N3" s="179">
        <f t="shared" ref="N3:N28" si="0">H3/G3</f>
        <v>1.665726872246696</v>
      </c>
      <c r="O3" s="185">
        <f t="shared" ref="O3:O28" si="1">C3+D3+E3+F3</f>
        <v>28922550</v>
      </c>
      <c r="P3" s="181">
        <f>VLOOKUP(L3,GDP!$A$2:$D$27,4,FALSE)</f>
        <v>2.1447496550786704E-2</v>
      </c>
      <c r="Q3" s="186">
        <f>VLOOKUP(L3,DPI!$A$1:$B$27,2,FALSE)</f>
        <v>36020</v>
      </c>
      <c r="R3" s="179">
        <v>7.8</v>
      </c>
      <c r="S3" s="187">
        <f>B3/1000000</f>
        <v>4.5816509999999999</v>
      </c>
      <c r="T3" s="179">
        <v>10</v>
      </c>
      <c r="U3" s="179">
        <v>2</v>
      </c>
      <c r="V3" s="188">
        <f>A3</f>
        <v>0.40366969162995597</v>
      </c>
      <c r="X3" s="179">
        <f>SUMPRODUCT($M$32:$V$32,M37:V37)</f>
        <v>106.74561752239512</v>
      </c>
      <c r="Y3" s="181">
        <f>X3/SUM($X$3:$X$28)</f>
        <v>3.4670707816158337E-2</v>
      </c>
      <c r="Z3" s="182">
        <f>Y3*$Z$1</f>
        <v>12134747.735655418</v>
      </c>
      <c r="AB3" s="171"/>
      <c r="AC3" s="171"/>
      <c r="AF3" s="148"/>
      <c r="AG3" s="148" t="s">
        <v>606</v>
      </c>
      <c r="AH3" s="148"/>
      <c r="AI3" s="148"/>
      <c r="AJ3" s="148"/>
      <c r="AK3" s="172"/>
      <c r="AL3" s="172"/>
      <c r="AM3" s="172"/>
      <c r="AN3" s="189"/>
      <c r="AO3" s="172"/>
      <c r="AP3" s="190"/>
      <c r="AQ3" s="191"/>
      <c r="AR3" s="190"/>
      <c r="AS3" s="192"/>
      <c r="AT3" s="190"/>
      <c r="AV3" s="44"/>
      <c r="AW3" s="44"/>
      <c r="AX3" s="44"/>
      <c r="AY3" s="44"/>
      <c r="AZ3" s="44"/>
      <c r="BA3" s="44"/>
      <c r="BB3" s="193"/>
      <c r="BC3" s="193"/>
      <c r="BD3" s="44"/>
    </row>
    <row r="4" spans="1:56" s="199" customFormat="1" ht="18" customHeight="1">
      <c r="A4" s="184">
        <f t="shared" ref="A4:A28" si="2">B4/G4</f>
        <v>3.5599177902882063E-2</v>
      </c>
      <c r="B4" s="194">
        <v>12367235</v>
      </c>
      <c r="C4" s="148">
        <v>3036780</v>
      </c>
      <c r="D4" s="148">
        <v>70340</v>
      </c>
      <c r="E4" s="148">
        <v>2947460</v>
      </c>
      <c r="F4" s="148">
        <v>48810</v>
      </c>
      <c r="G4" s="194">
        <v>347402264</v>
      </c>
      <c r="H4" s="194">
        <v>170930093.75</v>
      </c>
      <c r="I4" s="194">
        <v>704.9</v>
      </c>
      <c r="J4" s="194">
        <v>21540</v>
      </c>
      <c r="K4" s="148"/>
      <c r="L4" s="161" t="s">
        <v>229</v>
      </c>
      <c r="M4" s="223">
        <v>10</v>
      </c>
      <c r="N4" s="179">
        <f t="shared" si="0"/>
        <v>0.49202354579358759</v>
      </c>
      <c r="O4" s="185">
        <f t="shared" si="1"/>
        <v>6103390</v>
      </c>
      <c r="P4" s="181">
        <f>VLOOKUP(L4,GDP!$A$2:$D$27,4,FALSE)</f>
        <v>4.5333059210526327E-2</v>
      </c>
      <c r="Q4" s="186">
        <f>VLOOKUP(L4,DPI!$A$1:$B$27,2,FALSE)</f>
        <v>60944</v>
      </c>
      <c r="R4" s="179">
        <v>12</v>
      </c>
      <c r="S4" s="187">
        <f t="shared" ref="S4:S28" si="3">B4/1000000</f>
        <v>12.367235000000001</v>
      </c>
      <c r="T4" s="179">
        <v>2.5</v>
      </c>
      <c r="U4" s="195">
        <v>10</v>
      </c>
      <c r="V4" s="188">
        <f t="shared" ref="V4:V28" si="4">A4</f>
        <v>3.5599177902882063E-2</v>
      </c>
      <c r="W4" s="40"/>
      <c r="X4" s="179">
        <f>SUMPRODUCT($M$32:$V$32,M38:V38)</f>
        <v>223.84195969697979</v>
      </c>
      <c r="Y4" s="181">
        <f>X4/SUM($X$3:$X$28)</f>
        <v>7.2703304939166019E-2</v>
      </c>
      <c r="Z4" s="182">
        <f>Y4*$Z$1</f>
        <v>25446156.728708107</v>
      </c>
      <c r="AA4" s="40"/>
      <c r="AB4" s="171"/>
      <c r="AC4" s="171"/>
      <c r="AD4" s="40"/>
      <c r="AE4" s="40"/>
      <c r="AF4" s="148"/>
      <c r="AG4" s="148"/>
      <c r="AH4" s="148"/>
      <c r="AI4" s="148"/>
      <c r="AJ4" s="148"/>
      <c r="AK4" s="172"/>
      <c r="AL4" s="172"/>
      <c r="AM4" s="172"/>
      <c r="AN4" s="189"/>
      <c r="AO4" s="172"/>
      <c r="AP4" s="196"/>
      <c r="AQ4" s="197"/>
      <c r="AR4" s="196"/>
      <c r="AS4" s="198"/>
      <c r="AT4" s="196"/>
      <c r="AV4" s="200"/>
      <c r="AW4" s="200"/>
      <c r="AX4" s="200"/>
      <c r="AY4" s="200"/>
      <c r="AZ4" s="200"/>
      <c r="BA4" s="200"/>
      <c r="BB4" s="201"/>
      <c r="BC4" s="201"/>
      <c r="BD4" s="200"/>
    </row>
    <row r="5" spans="1:56" s="40" customFormat="1" ht="18" customHeight="1">
      <c r="A5" s="184">
        <f t="shared" si="2"/>
        <v>8.6109478764476541E-2</v>
      </c>
      <c r="B5" s="137">
        <v>5991450</v>
      </c>
      <c r="C5" s="40">
        <v>2248410</v>
      </c>
      <c r="D5" s="40">
        <v>169080</v>
      </c>
      <c r="E5" s="40">
        <v>1782130</v>
      </c>
      <c r="F5" s="40">
        <v>136400</v>
      </c>
      <c r="G5" s="137">
        <v>69579448</v>
      </c>
      <c r="H5" s="137">
        <v>93086000</v>
      </c>
      <c r="I5" s="137">
        <v>1245.0999999999999</v>
      </c>
      <c r="J5" s="137">
        <v>7400</v>
      </c>
      <c r="L5" s="161" t="s">
        <v>230</v>
      </c>
      <c r="M5" s="223">
        <v>6.0043324562610803</v>
      </c>
      <c r="N5" s="179">
        <f t="shared" si="0"/>
        <v>1.3378375752564178</v>
      </c>
      <c r="O5" s="185">
        <f t="shared" si="1"/>
        <v>4336020</v>
      </c>
      <c r="P5" s="181">
        <f>VLOOKUP(L5,GDP!$A$2:$D$27,4,FALSE)</f>
        <v>5.3512623490669542E-2</v>
      </c>
      <c r="Q5" s="186">
        <f>VLOOKUP(L5,DPI!$A$1:$B$27,2,FALSE)</f>
        <v>36077</v>
      </c>
      <c r="R5" s="179">
        <v>9.5</v>
      </c>
      <c r="S5" s="187">
        <f t="shared" si="3"/>
        <v>5.9914500000000004</v>
      </c>
      <c r="T5" s="179">
        <v>2.6</v>
      </c>
      <c r="U5" s="179">
        <v>10</v>
      </c>
      <c r="V5" s="188">
        <f t="shared" si="4"/>
        <v>8.6109478764476541E-2</v>
      </c>
      <c r="X5" s="179">
        <f>SUMPRODUCT($M$32:$V$32,M39:V39)</f>
        <v>220.459483107533</v>
      </c>
      <c r="Y5" s="181">
        <f>X5/SUM($X$3:$X$28)</f>
        <v>7.1604685059028075E-2</v>
      </c>
      <c r="Z5" s="182">
        <f>Y5*$Z$1</f>
        <v>25061639.770659827</v>
      </c>
      <c r="AB5" s="171"/>
      <c r="AC5" s="171"/>
      <c r="AF5" s="148"/>
      <c r="AG5" s="148"/>
      <c r="AH5" s="148"/>
      <c r="AI5" s="148"/>
      <c r="AJ5" s="148"/>
      <c r="AK5" s="172"/>
      <c r="AL5" s="172"/>
      <c r="AM5" s="172"/>
      <c r="AN5" s="189"/>
      <c r="AO5" s="172"/>
      <c r="AP5" s="190"/>
      <c r="AQ5" s="191"/>
      <c r="AR5" s="190"/>
      <c r="AS5" s="192"/>
      <c r="AT5" s="190"/>
      <c r="AV5" s="44"/>
      <c r="AW5" s="44"/>
      <c r="AX5" s="44"/>
      <c r="AY5" s="44"/>
      <c r="AZ5" s="44"/>
      <c r="BA5" s="44"/>
      <c r="BB5" s="193"/>
      <c r="BC5" s="193"/>
      <c r="BD5" s="44"/>
    </row>
    <row r="6" spans="1:56" s="40" customFormat="1" ht="18" customHeight="1">
      <c r="A6" s="184">
        <f t="shared" si="2"/>
        <v>6.2525275119617224E-2</v>
      </c>
      <c r="B6" s="137">
        <v>5227113</v>
      </c>
      <c r="C6" s="40">
        <v>1384090</v>
      </c>
      <c r="D6" s="40">
        <v>5530</v>
      </c>
      <c r="E6" s="40">
        <v>1351080</v>
      </c>
      <c r="F6" s="40">
        <v>3820</v>
      </c>
      <c r="G6" s="137">
        <v>83600000</v>
      </c>
      <c r="H6" s="137">
        <v>99533000</v>
      </c>
      <c r="I6" s="137">
        <v>504.2</v>
      </c>
      <c r="J6" s="137">
        <v>11200</v>
      </c>
      <c r="L6" s="161" t="s">
        <v>187</v>
      </c>
      <c r="M6" s="223">
        <v>4.4833256191703796</v>
      </c>
      <c r="N6" s="179">
        <f t="shared" si="0"/>
        <v>1.1905861244019138</v>
      </c>
      <c r="O6" s="185">
        <f t="shared" si="1"/>
        <v>2744520</v>
      </c>
      <c r="P6" s="181">
        <f>VLOOKUP(L6,GDP!$A$2:$D$27,4,FALSE)</f>
        <v>1.8462859596393377E-2</v>
      </c>
      <c r="Q6" s="186">
        <f>VLOOKUP(L6,DPI!$A$1:$B$27,2,FALSE)</f>
        <v>42417</v>
      </c>
      <c r="R6" s="179">
        <v>7.5</v>
      </c>
      <c r="S6" s="187">
        <f t="shared" si="3"/>
        <v>5.2271130000000001</v>
      </c>
      <c r="T6" s="179">
        <v>1.6</v>
      </c>
      <c r="U6" s="179">
        <v>10</v>
      </c>
      <c r="V6" s="188">
        <f>A6</f>
        <v>6.2525275119617224E-2</v>
      </c>
      <c r="X6" s="179">
        <f>SUMPRODUCT($M$32:$V$32,M40:V40)</f>
        <v>211.90058304596513</v>
      </c>
      <c r="Y6" s="181">
        <f>X6/SUM($X$3:$X$28)</f>
        <v>6.8824775867907764E-2</v>
      </c>
      <c r="Z6" s="182">
        <f>Y6*$Z$1</f>
        <v>24088671.553767718</v>
      </c>
      <c r="AB6" s="171"/>
      <c r="AC6" s="171"/>
      <c r="AF6" s="148"/>
      <c r="AG6" s="148"/>
      <c r="AH6" s="148"/>
      <c r="AI6" s="148"/>
      <c r="AJ6" s="148"/>
      <c r="AK6" s="172"/>
      <c r="AL6" s="172"/>
      <c r="AM6" s="172"/>
      <c r="AN6" s="189"/>
      <c r="AO6" s="172"/>
      <c r="AP6" s="190"/>
      <c r="AQ6" s="191"/>
      <c r="AR6" s="190"/>
      <c r="AS6" s="192"/>
      <c r="AT6" s="190"/>
      <c r="AV6" s="44"/>
      <c r="AW6" s="44"/>
      <c r="AX6" s="44"/>
      <c r="AY6" s="44"/>
      <c r="AZ6" s="44"/>
      <c r="BA6" s="44"/>
      <c r="BB6" s="193"/>
      <c r="BC6" s="193"/>
      <c r="BD6" s="44"/>
    </row>
    <row r="7" spans="1:56" s="40" customFormat="1" ht="18" customHeight="1">
      <c r="A7" s="184">
        <f t="shared" si="2"/>
        <v>6.5790012767408812E-2</v>
      </c>
      <c r="B7" s="137">
        <v>4385431</v>
      </c>
      <c r="C7" s="40">
        <v>1319680</v>
      </c>
      <c r="D7" s="40">
        <v>4240</v>
      </c>
      <c r="E7" s="40">
        <v>1175450</v>
      </c>
      <c r="F7" s="40">
        <v>2830</v>
      </c>
      <c r="G7" s="137">
        <v>66658005</v>
      </c>
      <c r="H7" s="137">
        <v>49276000</v>
      </c>
      <c r="I7" s="137">
        <v>433.9</v>
      </c>
      <c r="J7" s="137">
        <v>3600</v>
      </c>
      <c r="L7" s="161" t="s">
        <v>167</v>
      </c>
      <c r="M7" s="223">
        <v>5.8127874282442598</v>
      </c>
      <c r="N7" s="179">
        <f t="shared" si="0"/>
        <v>0.73923604524317821</v>
      </c>
      <c r="O7" s="185">
        <f t="shared" si="1"/>
        <v>2502200</v>
      </c>
      <c r="P7" s="181">
        <f>VLOOKUP(L7,GDP!$A$2:$D$27,4,FALSE)</f>
        <v>1.5496521189120704E-2</v>
      </c>
      <c r="Q7" s="186">
        <f>VLOOKUP(L7,DPI!$A$1:$B$27,2,FALSE)</f>
        <v>35001</v>
      </c>
      <c r="R7" s="179">
        <v>7</v>
      </c>
      <c r="S7" s="187">
        <f t="shared" si="3"/>
        <v>4.3854309999999996</v>
      </c>
      <c r="T7" s="179">
        <v>1.6</v>
      </c>
      <c r="U7" s="179">
        <v>10</v>
      </c>
      <c r="V7" s="188">
        <f t="shared" si="4"/>
        <v>6.5790012767408812E-2</v>
      </c>
      <c r="X7" s="179">
        <f>SUMPRODUCT($M$32:$V$32,M41:V41)</f>
        <v>210.7512149090214</v>
      </c>
      <c r="Y7" s="181">
        <f>X7/SUM($X$3:$X$28)</f>
        <v>6.8451463990810632E-2</v>
      </c>
      <c r="Z7" s="182">
        <f>Y7*$Z$1</f>
        <v>23958012.396783721</v>
      </c>
      <c r="AB7" s="171"/>
      <c r="AC7" s="171"/>
      <c r="AF7" s="148"/>
      <c r="AG7" s="148"/>
      <c r="AH7" s="148"/>
      <c r="AI7" s="148"/>
      <c r="AJ7" s="148"/>
      <c r="AK7" s="172"/>
      <c r="AL7" s="172"/>
      <c r="AM7" s="172"/>
      <c r="AN7" s="189"/>
      <c r="AO7" s="172"/>
      <c r="AP7" s="190"/>
      <c r="AQ7" s="191"/>
      <c r="AR7" s="190"/>
      <c r="AS7" s="192"/>
      <c r="AT7" s="190"/>
      <c r="AV7" s="44"/>
      <c r="AW7" s="44"/>
      <c r="AX7" s="44"/>
      <c r="AY7" s="44"/>
      <c r="AZ7" s="44"/>
      <c r="BA7" s="44"/>
      <c r="BB7" s="193"/>
      <c r="BC7" s="193"/>
      <c r="BD7" s="44"/>
    </row>
    <row r="8" spans="1:56" s="40" customFormat="1" ht="18" customHeight="1">
      <c r="A8" s="184">
        <f t="shared" si="2"/>
        <v>5.1211680813316895E-2</v>
      </c>
      <c r="B8" s="137">
        <v>5954662</v>
      </c>
      <c r="C8" s="40">
        <v>172870</v>
      </c>
      <c r="D8" s="40">
        <v>14650</v>
      </c>
      <c r="E8" s="40">
        <v>149110</v>
      </c>
      <c r="F8" s="40">
        <v>8400</v>
      </c>
      <c r="G8" s="137">
        <v>116275465</v>
      </c>
      <c r="H8" s="137">
        <v>43066000</v>
      </c>
      <c r="I8" s="137">
        <v>170</v>
      </c>
      <c r="J8" s="137">
        <v>490</v>
      </c>
      <c r="L8" s="202" t="s">
        <v>90</v>
      </c>
      <c r="M8" s="223">
        <v>1.0681261262291399</v>
      </c>
      <c r="N8" s="179">
        <f t="shared" si="0"/>
        <v>0.37037908212192489</v>
      </c>
      <c r="O8" s="185">
        <f t="shared" si="1"/>
        <v>345030</v>
      </c>
      <c r="P8" s="181">
        <f>VLOOKUP(L8,GDP!$A$2:$D$27,4,FALSE)</f>
        <v>-9.3359853201047227E-2</v>
      </c>
      <c r="Q8" s="186">
        <f>VLOOKUP(L8,DPI!$A$1:$B$27,2,FALSE)</f>
        <v>2072</v>
      </c>
      <c r="R8" s="179">
        <v>3.2</v>
      </c>
      <c r="S8" s="187">
        <f t="shared" si="3"/>
        <v>5.9546619999999999</v>
      </c>
      <c r="T8" s="179">
        <v>1</v>
      </c>
      <c r="U8" s="179">
        <v>1</v>
      </c>
      <c r="V8" s="188">
        <f t="shared" ref="V8:V20" si="5">A8</f>
        <v>5.1211680813316895E-2</v>
      </c>
      <c r="X8" s="179">
        <f>SUMPRODUCT($M$32:$V$32,M42:V42)</f>
        <v>59.364732703587514</v>
      </c>
      <c r="Y8" s="181">
        <f>X8/SUM($X$3:$X$28)</f>
        <v>1.9281515718606528E-2</v>
      </c>
      <c r="Z8" s="182">
        <f>Y8*$Z$1</f>
        <v>6748530.5015122844</v>
      </c>
      <c r="AB8" s="171"/>
      <c r="AC8" s="171"/>
      <c r="AF8" s="148"/>
      <c r="AG8" s="148"/>
      <c r="AH8" s="148"/>
      <c r="AI8" s="148"/>
      <c r="AJ8" s="148"/>
      <c r="AK8" s="172"/>
      <c r="AL8" s="172"/>
      <c r="AM8" s="172"/>
      <c r="AN8" s="189"/>
      <c r="AO8" s="172"/>
      <c r="AP8" s="190"/>
      <c r="AQ8" s="191"/>
      <c r="AR8" s="190"/>
      <c r="AS8" s="192"/>
      <c r="AT8" s="190"/>
      <c r="AV8" s="44"/>
      <c r="AW8" s="44"/>
      <c r="AX8" s="44"/>
      <c r="AY8" s="44"/>
      <c r="AZ8" s="44"/>
      <c r="BA8" s="44"/>
      <c r="BB8" s="193"/>
      <c r="BC8" s="193"/>
      <c r="BD8" s="44"/>
    </row>
    <row r="9" spans="1:56" s="40" customFormat="1" ht="18" customHeight="1">
      <c r="A9" s="184">
        <f t="shared" si="2"/>
        <v>7.4306581540363514E-2</v>
      </c>
      <c r="B9" s="137">
        <v>1513675</v>
      </c>
      <c r="C9" s="40">
        <v>71900</v>
      </c>
      <c r="D9" s="40">
        <v>290</v>
      </c>
      <c r="E9" s="40">
        <v>47810</v>
      </c>
      <c r="F9" s="40">
        <v>190</v>
      </c>
      <c r="G9" s="137">
        <v>20370672</v>
      </c>
      <c r="H9" s="137">
        <v>10707000</v>
      </c>
      <c r="I9" s="137">
        <v>74</v>
      </c>
      <c r="J9" s="137">
        <v>180</v>
      </c>
      <c r="L9" s="202" t="s">
        <v>323</v>
      </c>
      <c r="M9" s="223">
        <v>2.0806578053051199</v>
      </c>
      <c r="N9" s="179">
        <f t="shared" si="0"/>
        <v>0.52560858080675987</v>
      </c>
      <c r="O9" s="185">
        <f t="shared" si="1"/>
        <v>120190</v>
      </c>
      <c r="P9" s="181">
        <f>VLOOKUP(L9,GDP!$A$2:$D$27,4,FALSE)</f>
        <v>5.5222780099013491E-2</v>
      </c>
      <c r="Q9" s="186">
        <f>VLOOKUP(L9,DPI!$A$1:$B$27,2,FALSE)</f>
        <v>9660</v>
      </c>
      <c r="R9" s="179">
        <v>2.8</v>
      </c>
      <c r="S9" s="187">
        <f t="shared" si="3"/>
        <v>1.5136750000000001</v>
      </c>
      <c r="T9" s="179">
        <v>3</v>
      </c>
      <c r="U9" s="179">
        <v>1</v>
      </c>
      <c r="V9" s="188">
        <f t="shared" si="5"/>
        <v>7.4306581540363514E-2</v>
      </c>
      <c r="X9" s="179">
        <f>SUMPRODUCT($M$32:$V$32,M43:V43)</f>
        <v>66.696784419098236</v>
      </c>
      <c r="Y9" s="181">
        <f>X9/SUM($X$3:$X$28)</f>
        <v>2.1662947655782801E-2</v>
      </c>
      <c r="Z9" s="182">
        <f>Y9*$Z$1</f>
        <v>7582031.6795239802</v>
      </c>
      <c r="AB9" s="171"/>
      <c r="AC9" s="171"/>
      <c r="AF9" s="148"/>
      <c r="AG9" s="148"/>
      <c r="AH9" s="148"/>
      <c r="AI9" s="148"/>
      <c r="AJ9" s="148"/>
      <c r="AK9" s="172"/>
      <c r="AL9" s="172"/>
      <c r="AM9" s="172"/>
      <c r="AN9" s="189"/>
      <c r="AO9" s="172"/>
      <c r="AP9" s="190"/>
      <c r="AQ9" s="191"/>
      <c r="AR9" s="190"/>
      <c r="AS9" s="192"/>
      <c r="AT9" s="190"/>
      <c r="AV9" s="44"/>
      <c r="AW9" s="44"/>
      <c r="AX9" s="44"/>
      <c r="AY9" s="44"/>
      <c r="AZ9" s="44"/>
      <c r="BA9" s="44"/>
      <c r="BB9" s="193"/>
      <c r="BC9" s="193"/>
      <c r="BD9" s="44"/>
    </row>
    <row r="10" spans="1:56" s="40" customFormat="1" ht="18" customHeight="1">
      <c r="A10" s="184">
        <f t="shared" si="2"/>
        <v>0.73347705942706798</v>
      </c>
      <c r="B10" s="137">
        <v>1165253</v>
      </c>
      <c r="C10" s="40">
        <v>94410</v>
      </c>
      <c r="D10" s="40">
        <v>12270</v>
      </c>
      <c r="E10" s="40">
        <v>87090</v>
      </c>
      <c r="F10" s="40">
        <v>12260</v>
      </c>
      <c r="G10" s="137">
        <v>1588670</v>
      </c>
      <c r="H10" s="137">
        <v>1950000</v>
      </c>
      <c r="I10" s="137">
        <v>52.4</v>
      </c>
      <c r="J10" s="137">
        <v>260</v>
      </c>
      <c r="L10" s="202" t="s">
        <v>161</v>
      </c>
      <c r="M10" s="223">
        <v>4.2309976195305401</v>
      </c>
      <c r="N10" s="179">
        <f t="shared" si="0"/>
        <v>1.2274418224049046</v>
      </c>
      <c r="O10" s="185">
        <f t="shared" si="1"/>
        <v>206030</v>
      </c>
      <c r="P10" s="181">
        <f>VLOOKUP(L10,GDP!$A$2:$D$27,4,FALSE)</f>
        <v>1.8873953518096398E-2</v>
      </c>
      <c r="Q10" s="186">
        <f>VLOOKUP(L10,DPI!$A$1:$B$27,2,FALSE)</f>
        <v>25947</v>
      </c>
      <c r="R10" s="179">
        <v>4.4000000000000004</v>
      </c>
      <c r="S10" s="187">
        <f t="shared" si="3"/>
        <v>1.1652530000000001</v>
      </c>
      <c r="T10" s="179">
        <v>1</v>
      </c>
      <c r="U10" s="179">
        <v>0.05</v>
      </c>
      <c r="V10" s="188">
        <f t="shared" si="5"/>
        <v>0.73347705942706798</v>
      </c>
      <c r="X10" s="179">
        <f>SUMPRODUCT($M$32:$V$32,M44:V44)</f>
        <v>54.617531191652994</v>
      </c>
      <c r="Y10" s="181">
        <f>X10/SUM($X$3:$X$28)</f>
        <v>1.7739636619633906E-2</v>
      </c>
      <c r="Z10" s="183">
        <f>Y10*$Z$1</f>
        <v>6208872.8168718675</v>
      </c>
      <c r="AB10" s="171"/>
      <c r="AC10" s="171"/>
      <c r="AE10" s="40" t="s">
        <v>613</v>
      </c>
      <c r="AF10" s="148" t="s">
        <v>614</v>
      </c>
      <c r="AG10" s="148"/>
      <c r="AH10" s="148"/>
      <c r="AI10" s="148"/>
      <c r="AJ10" s="148"/>
      <c r="AK10" s="172"/>
      <c r="AL10" s="172"/>
      <c r="AM10" s="172"/>
      <c r="AN10" s="189"/>
      <c r="AO10" s="172"/>
      <c r="AP10" s="190"/>
      <c r="AQ10" s="191"/>
      <c r="AR10" s="190"/>
      <c r="AS10" s="192"/>
      <c r="AT10" s="190"/>
      <c r="AV10" s="44"/>
      <c r="AW10" s="44"/>
      <c r="AX10" s="44"/>
      <c r="AY10" s="44"/>
      <c r="AZ10" s="44"/>
      <c r="BA10" s="44"/>
      <c r="BB10" s="193"/>
      <c r="BC10" s="193"/>
      <c r="BD10" s="44"/>
    </row>
    <row r="11" spans="1:56" s="40" customFormat="1" ht="18" customHeight="1">
      <c r="A11" s="184">
        <f t="shared" si="2"/>
        <v>0.94645448275862065</v>
      </c>
      <c r="B11" s="137">
        <v>2744718</v>
      </c>
      <c r="C11" s="40">
        <v>139980</v>
      </c>
      <c r="D11" s="40">
        <v>16220</v>
      </c>
      <c r="E11" s="40">
        <v>98020</v>
      </c>
      <c r="F11" s="40">
        <v>14480</v>
      </c>
      <c r="G11" s="137">
        <v>2900000</v>
      </c>
      <c r="H11" s="137">
        <v>3550000</v>
      </c>
      <c r="I11" s="137">
        <v>1000</v>
      </c>
      <c r="J11" s="137">
        <v>1350</v>
      </c>
      <c r="L11" s="202" t="s">
        <v>154</v>
      </c>
      <c r="M11" s="223">
        <v>4.1472032111299102</v>
      </c>
      <c r="N11" s="179">
        <f t="shared" si="0"/>
        <v>1.2241379310344827</v>
      </c>
      <c r="O11" s="185">
        <f t="shared" si="1"/>
        <v>268700</v>
      </c>
      <c r="P11" s="181">
        <f>VLOOKUP(L11,GDP!$A$2:$D$27,4,FALSE)</f>
        <v>5.9787222513232319E-3</v>
      </c>
      <c r="Q11" s="186">
        <f>VLOOKUP(L11,DPI!$A$1:$B$27,2,FALSE)</f>
        <v>17459</v>
      </c>
      <c r="R11" s="179">
        <v>5.5</v>
      </c>
      <c r="S11" s="187">
        <f t="shared" si="3"/>
        <v>2.7447180000000002</v>
      </c>
      <c r="T11" s="179">
        <v>4</v>
      </c>
      <c r="U11" s="179">
        <v>0.05</v>
      </c>
      <c r="V11" s="188">
        <f t="shared" si="5"/>
        <v>0.94645448275862065</v>
      </c>
      <c r="X11" s="179">
        <f>SUMPRODUCT($M$32:$V$32,M45:V45)</f>
        <v>65.091672118060487</v>
      </c>
      <c r="Y11" s="181">
        <f>X11/SUM($X$3:$X$28)</f>
        <v>2.1141611221622156E-2</v>
      </c>
      <c r="Z11" s="182">
        <f>Y11*$Z$1</f>
        <v>7399563.9275677549</v>
      </c>
      <c r="AB11" s="171"/>
      <c r="AC11" s="171"/>
      <c r="AF11" s="148"/>
      <c r="AG11" s="148"/>
      <c r="AH11" s="148"/>
      <c r="AI11" s="148"/>
      <c r="AJ11" s="148"/>
      <c r="AK11" s="172"/>
      <c r="AL11" s="172"/>
      <c r="AM11" s="172"/>
      <c r="AN11" s="189"/>
      <c r="AO11" s="172"/>
      <c r="AP11" s="190"/>
      <c r="AQ11" s="191"/>
      <c r="AR11" s="190"/>
      <c r="AS11" s="192"/>
      <c r="AT11" s="190"/>
      <c r="AV11" s="44"/>
      <c r="AW11" s="44"/>
      <c r="AX11" s="44"/>
      <c r="AY11" s="44"/>
      <c r="AZ11" s="44"/>
      <c r="BA11" s="44"/>
      <c r="BB11" s="193"/>
      <c r="BC11" s="193"/>
      <c r="BD11" s="44"/>
    </row>
    <row r="12" spans="1:56" s="40" customFormat="1" ht="18" customHeight="1">
      <c r="A12" s="184">
        <f t="shared" si="2"/>
        <v>3.7670506024096384E-2</v>
      </c>
      <c r="B12" s="137">
        <v>1563326</v>
      </c>
      <c r="C12" s="40">
        <v>604940</v>
      </c>
      <c r="D12" s="40">
        <v>9120</v>
      </c>
      <c r="E12" s="40">
        <v>575590</v>
      </c>
      <c r="F12" s="40">
        <v>6950</v>
      </c>
      <c r="G12" s="137">
        <v>41500000</v>
      </c>
      <c r="H12" s="137">
        <v>37845898.4375</v>
      </c>
      <c r="I12" s="137">
        <v>59</v>
      </c>
      <c r="J12" s="137">
        <v>2500</v>
      </c>
      <c r="L12" s="202" t="s">
        <v>177</v>
      </c>
      <c r="M12" s="223">
        <v>4.0831245667550196</v>
      </c>
      <c r="N12" s="179">
        <f t="shared" si="0"/>
        <v>0.91194935993975901</v>
      </c>
      <c r="O12" s="185">
        <f t="shared" si="1"/>
        <v>1196600</v>
      </c>
      <c r="P12" s="181">
        <f>VLOOKUP(L12,GDP!$A$2:$D$27,4,FALSE)</f>
        <v>-7.1396697902722517E-3</v>
      </c>
      <c r="Q12" s="186">
        <f>VLOOKUP(L12,DPI!$A$1:$B$27,2,FALSE)</f>
        <v>35561</v>
      </c>
      <c r="R12" s="179">
        <v>9</v>
      </c>
      <c r="S12" s="187">
        <f t="shared" si="3"/>
        <v>1.563326</v>
      </c>
      <c r="T12" s="179">
        <v>1.2</v>
      </c>
      <c r="U12" s="179">
        <v>1</v>
      </c>
      <c r="V12" s="188">
        <f t="shared" si="5"/>
        <v>3.7670506024096384E-2</v>
      </c>
      <c r="X12" s="179">
        <f>SUMPRODUCT($M$32:$V$32,M46:V46)</f>
        <v>80.443354696549676</v>
      </c>
      <c r="Y12" s="181">
        <f>X12/SUM($X$3:$X$28)</f>
        <v>2.6127799071943417E-2</v>
      </c>
      <c r="Z12" s="182">
        <f>Y12*$Z$1</f>
        <v>9144729.6751801968</v>
      </c>
      <c r="AA12" s="175"/>
      <c r="AB12" s="171"/>
      <c r="AC12" s="171"/>
      <c r="AD12" s="175"/>
      <c r="AF12" s="148"/>
      <c r="AG12" s="148"/>
      <c r="AH12" s="148"/>
      <c r="AI12" s="148"/>
      <c r="AJ12" s="148"/>
      <c r="AK12" s="172"/>
      <c r="AL12" s="172"/>
      <c r="AM12" s="172"/>
      <c r="AN12" s="189"/>
      <c r="AO12" s="172"/>
      <c r="AP12" s="190"/>
      <c r="AQ12" s="191"/>
      <c r="AR12" s="190"/>
      <c r="AS12" s="192"/>
      <c r="AT12" s="190"/>
      <c r="AV12" s="44"/>
      <c r="AW12" s="44"/>
      <c r="AX12" s="44"/>
      <c r="AY12" s="44"/>
      <c r="AZ12" s="44"/>
      <c r="BA12" s="44"/>
      <c r="BB12" s="193"/>
      <c r="BC12" s="193"/>
      <c r="BD12" s="44"/>
    </row>
    <row r="13" spans="1:56" s="40" customFormat="1" ht="18" customHeight="1">
      <c r="A13" s="184">
        <f t="shared" si="2"/>
        <v>7.7463604649881737E-2</v>
      </c>
      <c r="B13" s="137">
        <v>1504678</v>
      </c>
      <c r="C13" s="40">
        <v>286520</v>
      </c>
      <c r="D13" s="40">
        <v>760</v>
      </c>
      <c r="E13" s="40">
        <v>244350</v>
      </c>
      <c r="F13" s="40">
        <v>570</v>
      </c>
      <c r="G13" s="137">
        <v>19424322</v>
      </c>
      <c r="H13" s="137">
        <v>23066000</v>
      </c>
      <c r="I13" s="137">
        <v>35.1</v>
      </c>
      <c r="J13" s="137">
        <v>930</v>
      </c>
      <c r="L13" s="202" t="s">
        <v>142</v>
      </c>
      <c r="M13" s="223">
        <v>2.2604101299306198</v>
      </c>
      <c r="N13" s="179">
        <f t="shared" si="0"/>
        <v>1.1874803146282273</v>
      </c>
      <c r="O13" s="185">
        <f t="shared" si="1"/>
        <v>532200</v>
      </c>
      <c r="P13" s="181">
        <f>VLOOKUP(L13,GDP!$A$2:$D$27,4,FALSE)</f>
        <v>1.2562814070351758E-2</v>
      </c>
      <c r="Q13" s="186">
        <f>VLOOKUP(L13,DPI!$A$1:$B$27,2,FALSE)</f>
        <v>7532</v>
      </c>
      <c r="R13" s="179">
        <v>3.5</v>
      </c>
      <c r="S13" s="187">
        <f t="shared" si="3"/>
        <v>1.504678</v>
      </c>
      <c r="T13" s="179">
        <v>3</v>
      </c>
      <c r="U13" s="179">
        <v>1</v>
      </c>
      <c r="V13" s="188">
        <f t="shared" si="5"/>
        <v>7.7463604649881737E-2</v>
      </c>
      <c r="X13" s="179">
        <f>SUMPRODUCT($M$32:$V$32,M47:V47)</f>
        <v>67.726058707607265</v>
      </c>
      <c r="Y13" s="181">
        <f>X13/SUM($X$3:$X$28)</f>
        <v>2.1997253353270511E-2</v>
      </c>
      <c r="Z13" s="182">
        <f>Y13*$Z$1</f>
        <v>7699038.6736446787</v>
      </c>
      <c r="AB13" s="171"/>
      <c r="AC13" s="171"/>
      <c r="AF13" s="148"/>
      <c r="AG13" s="148"/>
      <c r="AH13" s="148"/>
      <c r="AI13" s="148"/>
      <c r="AJ13" s="148"/>
      <c r="AK13" s="172"/>
      <c r="AL13" s="172"/>
      <c r="AM13" s="172"/>
      <c r="AN13" s="189"/>
      <c r="AO13" s="172"/>
      <c r="AP13" s="190"/>
      <c r="AQ13" s="191"/>
      <c r="AR13" s="190"/>
      <c r="AS13" s="192"/>
      <c r="AT13" s="190"/>
      <c r="AV13" s="44"/>
      <c r="AW13" s="44"/>
      <c r="AX13" s="44"/>
      <c r="AY13" s="44"/>
      <c r="AZ13" s="44"/>
      <c r="BA13" s="44"/>
      <c r="BB13" s="193"/>
      <c r="BC13" s="193"/>
      <c r="BD13" s="44"/>
    </row>
    <row r="14" spans="1:56" s="40" customFormat="1" ht="18" customHeight="1">
      <c r="A14" s="184">
        <f t="shared" si="2"/>
        <v>9.462409945309333E-2</v>
      </c>
      <c r="B14" s="137">
        <v>452370</v>
      </c>
      <c r="C14" s="40">
        <v>139390</v>
      </c>
      <c r="D14" s="40">
        <v>1260</v>
      </c>
      <c r="E14" s="40">
        <v>98490</v>
      </c>
      <c r="F14" s="40">
        <v>1000</v>
      </c>
      <c r="G14" s="137">
        <v>4780706</v>
      </c>
      <c r="H14" s="137">
        <v>6633000</v>
      </c>
      <c r="I14" s="137">
        <v>1565.8</v>
      </c>
      <c r="J14" s="137">
        <v>470</v>
      </c>
      <c r="L14" s="202" t="s">
        <v>136</v>
      </c>
      <c r="M14" s="223">
        <v>1.6150578286894099</v>
      </c>
      <c r="N14" s="179">
        <f t="shared" si="0"/>
        <v>1.3874519788499857</v>
      </c>
      <c r="O14" s="185">
        <f t="shared" si="1"/>
        <v>240140</v>
      </c>
      <c r="P14" s="181">
        <f>VLOOKUP(L14,GDP!$A$2:$D$27,4,FALSE)</f>
        <v>-2.4237210476608984E-2</v>
      </c>
      <c r="Q14" s="186">
        <f>VLOOKUP(L14,DPI!$A$1:$B$27,2,FALSE)</f>
        <v>16800</v>
      </c>
      <c r="R14" s="179">
        <v>3.8</v>
      </c>
      <c r="S14" s="187">
        <f t="shared" si="3"/>
        <v>0.45236999999999999</v>
      </c>
      <c r="T14" s="179">
        <v>3.5</v>
      </c>
      <c r="U14" s="179">
        <v>0.05</v>
      </c>
      <c r="V14" s="188">
        <f t="shared" si="5"/>
        <v>9.462409945309333E-2</v>
      </c>
      <c r="X14" s="179">
        <f>SUMPRODUCT($M$32:$V$32,M48:V48)</f>
        <v>57.374398623009512</v>
      </c>
      <c r="Y14" s="181">
        <f>X14/SUM($X$3:$X$28)</f>
        <v>1.8635060220330128E-2</v>
      </c>
      <c r="Z14" s="182">
        <f>Y14*$Z$1</f>
        <v>6522271.077115545</v>
      </c>
      <c r="AB14" s="171"/>
      <c r="AC14" s="171"/>
      <c r="AF14" s="148"/>
      <c r="AG14" s="148"/>
      <c r="AH14" s="148"/>
      <c r="AI14" s="148"/>
      <c r="AJ14" s="148"/>
      <c r="AK14" s="172"/>
      <c r="AL14" s="172"/>
      <c r="AM14" s="172"/>
      <c r="AN14" s="189"/>
      <c r="AO14" s="172"/>
      <c r="AP14" s="190"/>
      <c r="AQ14" s="191"/>
      <c r="AR14" s="190"/>
      <c r="AS14" s="192"/>
      <c r="AT14" s="190"/>
      <c r="AV14" s="44"/>
      <c r="AW14" s="44"/>
      <c r="AX14" s="44"/>
      <c r="AY14" s="44"/>
      <c r="AZ14" s="44"/>
      <c r="BA14" s="44"/>
      <c r="BB14" s="193"/>
      <c r="BC14" s="193"/>
      <c r="BD14" s="44"/>
    </row>
    <row r="15" spans="1:56" s="40" customFormat="1" ht="18" customHeight="1">
      <c r="A15" s="184">
        <f t="shared" si="2"/>
        <v>3.6562022828162212E-2</v>
      </c>
      <c r="B15" s="137">
        <v>1733772</v>
      </c>
      <c r="C15" s="40">
        <v>641800</v>
      </c>
      <c r="D15" s="40">
        <v>2170</v>
      </c>
      <c r="E15" s="40">
        <v>609940</v>
      </c>
      <c r="F15" s="40">
        <v>1750</v>
      </c>
      <c r="G15" s="137">
        <v>47420024</v>
      </c>
      <c r="H15" s="137">
        <v>22816000</v>
      </c>
      <c r="I15" s="137">
        <v>52.8</v>
      </c>
      <c r="J15" s="137">
        <v>5700</v>
      </c>
      <c r="L15" s="202" t="s">
        <v>168</v>
      </c>
      <c r="M15" s="223">
        <v>3.65630481928648</v>
      </c>
      <c r="N15" s="179">
        <f t="shared" si="0"/>
        <v>0.48114695176029432</v>
      </c>
      <c r="O15" s="185">
        <f t="shared" si="1"/>
        <v>1255660</v>
      </c>
      <c r="P15" s="181">
        <f>VLOOKUP(L15,GDP!$A$2:$D$27,4,FALSE)</f>
        <v>4.471544715447151E-2</v>
      </c>
      <c r="Q15" s="186">
        <f>VLOOKUP(L15,DPI!$A$1:$B$27,2,FALSE)</f>
        <v>31193</v>
      </c>
      <c r="R15" s="179">
        <v>6.5</v>
      </c>
      <c r="S15" s="187">
        <f t="shared" si="3"/>
        <v>1.7337720000000001</v>
      </c>
      <c r="T15" s="179">
        <v>1.2</v>
      </c>
      <c r="U15" s="179">
        <v>1</v>
      </c>
      <c r="V15" s="188">
        <f t="shared" si="5"/>
        <v>3.6562022828162212E-2</v>
      </c>
      <c r="X15" s="179">
        <f>SUMPRODUCT($M$32:$V$32,M49:V49)</f>
        <v>73.745254366586195</v>
      </c>
      <c r="Y15" s="181">
        <f>X15/SUM($X$3:$X$28)</f>
        <v>2.3952272948683542E-2</v>
      </c>
      <c r="Z15" s="182">
        <f>Y15*$Z$1</f>
        <v>8383295.53203924</v>
      </c>
      <c r="AB15" s="171"/>
      <c r="AC15" s="171"/>
      <c r="AF15" s="148"/>
      <c r="AG15" s="148"/>
      <c r="AH15" s="148"/>
      <c r="AI15" s="148"/>
      <c r="AJ15" s="148"/>
      <c r="AK15" s="172"/>
      <c r="AL15" s="172"/>
      <c r="AM15" s="172"/>
      <c r="AN15" s="189"/>
      <c r="AO15" s="172"/>
      <c r="AP15" s="190"/>
      <c r="AQ15" s="191"/>
      <c r="AR15" s="190"/>
      <c r="AS15" s="192"/>
      <c r="AT15" s="190"/>
      <c r="AV15" s="44"/>
      <c r="AW15" s="44"/>
      <c r="AX15" s="44"/>
      <c r="AY15" s="44"/>
      <c r="AZ15" s="44"/>
      <c r="BA15" s="44"/>
      <c r="BB15" s="193"/>
      <c r="BC15" s="193"/>
      <c r="BD15" s="44"/>
    </row>
    <row r="16" spans="1:56" s="40" customFormat="1" ht="18" customHeight="1">
      <c r="A16" s="184">
        <f t="shared" si="2"/>
        <v>0.13368510793697422</v>
      </c>
      <c r="B16" s="137">
        <v>2369212</v>
      </c>
      <c r="C16" s="40">
        <v>442290</v>
      </c>
      <c r="D16" s="40">
        <v>4160</v>
      </c>
      <c r="E16" s="40">
        <v>431370</v>
      </c>
      <c r="F16" s="40">
        <v>3130</v>
      </c>
      <c r="G16" s="137">
        <v>17722333</v>
      </c>
      <c r="H16" s="137">
        <v>22045000</v>
      </c>
      <c r="I16" s="137">
        <v>61.4</v>
      </c>
      <c r="J16" s="137">
        <v>2670</v>
      </c>
      <c r="L16" s="202" t="s">
        <v>184</v>
      </c>
      <c r="M16" s="223">
        <v>5.6280835566111103</v>
      </c>
      <c r="N16" s="179">
        <f t="shared" si="0"/>
        <v>1.2439107198809547</v>
      </c>
      <c r="O16" s="185">
        <f t="shared" si="1"/>
        <v>880950</v>
      </c>
      <c r="P16" s="181">
        <f>VLOOKUP(L16,GDP!$A$2:$D$27,4,FALSE)</f>
        <v>3.6674816625916762E-2</v>
      </c>
      <c r="Q16" s="186">
        <f>VLOOKUP(L16,DPI!$A$1:$B$27,2,FALSE)</f>
        <v>40722</v>
      </c>
      <c r="R16" s="179">
        <v>7.2</v>
      </c>
      <c r="S16" s="187">
        <f t="shared" si="3"/>
        <v>2.3692120000000001</v>
      </c>
      <c r="T16" s="179">
        <v>1.2</v>
      </c>
      <c r="U16" s="179">
        <v>1</v>
      </c>
      <c r="V16" s="188">
        <f t="shared" si="5"/>
        <v>0.13368510793697422</v>
      </c>
      <c r="X16" s="179">
        <f>SUMPRODUCT($M$32:$V$32,M50:V50)</f>
        <v>78.5384956735587</v>
      </c>
      <c r="Y16" s="181">
        <f>X16/SUM($X$3:$X$28)</f>
        <v>2.5509105657169389E-2</v>
      </c>
      <c r="Z16" s="182">
        <f>Y16*$Z$1</f>
        <v>8928186.9800092857</v>
      </c>
      <c r="AB16" s="171"/>
      <c r="AC16" s="171"/>
      <c r="AF16" s="148"/>
      <c r="AG16" s="148"/>
      <c r="AH16" s="148"/>
      <c r="AI16" s="148"/>
      <c r="AJ16" s="148"/>
      <c r="AK16" s="172"/>
      <c r="AL16" s="172"/>
      <c r="AM16" s="172"/>
      <c r="AN16" s="189"/>
      <c r="AO16" s="172"/>
      <c r="AP16" s="190"/>
      <c r="AQ16" s="191"/>
      <c r="AR16" s="190"/>
      <c r="AS16" s="192"/>
      <c r="AT16" s="190"/>
      <c r="AV16" s="44"/>
      <c r="AW16" s="44"/>
      <c r="AX16" s="44"/>
      <c r="AY16" s="44"/>
      <c r="AZ16" s="44"/>
      <c r="BA16" s="44"/>
      <c r="BB16" s="193"/>
      <c r="BC16" s="193"/>
      <c r="BD16" s="44"/>
    </row>
    <row r="17" spans="1:56" s="40" customFormat="1" ht="18" customHeight="1">
      <c r="A17" s="184">
        <f t="shared" si="2"/>
        <v>5.8892882680418712E-3</v>
      </c>
      <c r="B17" s="137">
        <v>718260</v>
      </c>
      <c r="C17" s="40">
        <v>161240</v>
      </c>
      <c r="D17" s="40">
        <v>72490</v>
      </c>
      <c r="E17" s="40">
        <v>520</v>
      </c>
      <c r="F17" s="40">
        <v>360</v>
      </c>
      <c r="G17" s="137">
        <v>121960408</v>
      </c>
      <c r="H17" s="137">
        <v>20081000</v>
      </c>
      <c r="I17" s="137">
        <v>27</v>
      </c>
      <c r="J17" s="137">
        <v>1140</v>
      </c>
      <c r="L17" s="202" t="s">
        <v>171</v>
      </c>
      <c r="M17" s="223">
        <v>6.3468851259493801</v>
      </c>
      <c r="N17" s="179">
        <f t="shared" si="0"/>
        <v>0.16465179421177403</v>
      </c>
      <c r="O17" s="185">
        <f t="shared" si="1"/>
        <v>234610</v>
      </c>
      <c r="P17" s="181">
        <f>VLOOKUP(L17,GDP!$A$2:$D$27,4,FALSE)</f>
        <v>3.9741679085941284E-2</v>
      </c>
      <c r="Q17" s="186">
        <f>VLOOKUP(L17,DPI!$A$1:$B$27,2,FALSE)</f>
        <v>28040</v>
      </c>
      <c r="R17" s="179">
        <v>8.5</v>
      </c>
      <c r="S17" s="187">
        <f t="shared" si="3"/>
        <v>0.71826000000000001</v>
      </c>
      <c r="T17" s="179">
        <v>1.3</v>
      </c>
      <c r="U17" s="179">
        <v>1</v>
      </c>
      <c r="V17" s="188">
        <f t="shared" si="5"/>
        <v>5.8892882680418712E-3</v>
      </c>
      <c r="X17" s="179">
        <f>SUMPRODUCT($M$32:$V$32,M51:V51)</f>
        <v>80.714098919822504</v>
      </c>
      <c r="Y17" s="181">
        <f>X17/SUM($X$3:$X$28)</f>
        <v>2.6215736114005454E-2</v>
      </c>
      <c r="Z17" s="182">
        <f>Y17*$Z$1</f>
        <v>9175507.6399019081</v>
      </c>
      <c r="AB17" s="171"/>
      <c r="AC17" s="171"/>
      <c r="AF17" s="148"/>
      <c r="AG17" s="148"/>
      <c r="AH17" s="148"/>
      <c r="AI17" s="148"/>
      <c r="AJ17" s="148"/>
      <c r="AK17" s="172"/>
      <c r="AL17" s="172"/>
      <c r="AM17" s="172"/>
      <c r="AN17" s="189"/>
      <c r="AO17" s="172"/>
      <c r="AP17" s="190"/>
      <c r="AQ17" s="191"/>
      <c r="AR17" s="190"/>
      <c r="AS17" s="192"/>
      <c r="AT17" s="190"/>
      <c r="AV17" s="44"/>
      <c r="AW17" s="44"/>
      <c r="AX17" s="44"/>
      <c r="AY17" s="44"/>
      <c r="AZ17" s="44"/>
      <c r="BA17" s="44"/>
      <c r="BB17" s="193"/>
      <c r="BC17" s="193"/>
      <c r="BD17" s="44"/>
    </row>
    <row r="18" spans="1:56" s="40" customFormat="1" ht="18" customHeight="1">
      <c r="A18" s="184">
        <f t="shared" si="2"/>
        <v>3.638471628166693E-2</v>
      </c>
      <c r="B18" s="137">
        <v>1349855</v>
      </c>
      <c r="C18" s="40">
        <v>62390</v>
      </c>
      <c r="D18" s="40">
        <v>370</v>
      </c>
      <c r="E18" s="40">
        <v>54330</v>
      </c>
      <c r="F18" s="40">
        <v>290</v>
      </c>
      <c r="G18" s="137">
        <v>37099506</v>
      </c>
      <c r="H18" s="137">
        <v>8437000</v>
      </c>
      <c r="I18" s="137">
        <v>104.6</v>
      </c>
      <c r="J18" s="137">
        <v>110</v>
      </c>
      <c r="L18" s="202" t="s">
        <v>89</v>
      </c>
      <c r="M18" s="223">
        <v>3.9248220600744701</v>
      </c>
      <c r="N18" s="179">
        <f t="shared" si="0"/>
        <v>0.22741542704099618</v>
      </c>
      <c r="O18" s="185">
        <f t="shared" si="1"/>
        <v>117380</v>
      </c>
      <c r="P18" s="181">
        <f>VLOOKUP(L18,GDP!$A$2:$D$27,4,FALSE)</f>
        <v>0.15241558080061246</v>
      </c>
      <c r="Q18" s="186">
        <f>VLOOKUP(L18,DPI!$A$1:$B$27,2,FALSE)</f>
        <v>1706</v>
      </c>
      <c r="R18" s="179">
        <v>2.2000000000000002</v>
      </c>
      <c r="S18" s="187">
        <f t="shared" si="3"/>
        <v>1.349855</v>
      </c>
      <c r="T18" s="179">
        <v>2.5</v>
      </c>
      <c r="U18" s="179">
        <v>1</v>
      </c>
      <c r="V18" s="188">
        <f t="shared" si="5"/>
        <v>3.638471628166693E-2</v>
      </c>
      <c r="X18" s="179">
        <f>SUMPRODUCT($M$32:$V$32,M52:V52)</f>
        <v>65.584655979584738</v>
      </c>
      <c r="Y18" s="181">
        <f>X18/SUM($X$3:$X$28)</f>
        <v>2.1301731138652032E-2</v>
      </c>
      <c r="Z18" s="182">
        <f>Y18*$Z$1</f>
        <v>7455605.8985282108</v>
      </c>
      <c r="AB18" s="171"/>
      <c r="AC18" s="171"/>
      <c r="AF18" s="148"/>
      <c r="AG18" s="148"/>
      <c r="AH18" s="148"/>
      <c r="AI18" s="148"/>
      <c r="AJ18" s="148"/>
      <c r="AK18" s="172"/>
      <c r="AL18" s="172"/>
      <c r="AM18" s="172"/>
      <c r="AN18" s="189"/>
      <c r="AO18" s="172"/>
      <c r="AP18" s="190"/>
      <c r="AQ18" s="191"/>
      <c r="AR18" s="190"/>
      <c r="AS18" s="192"/>
      <c r="AT18" s="190"/>
      <c r="AV18" s="44"/>
      <c r="AW18" s="44"/>
      <c r="AX18" s="44"/>
      <c r="AY18" s="44"/>
      <c r="AZ18" s="44"/>
      <c r="BA18" s="44"/>
      <c r="BB18" s="193"/>
      <c r="BC18" s="193"/>
      <c r="BD18" s="44"/>
    </row>
    <row r="19" spans="1:56" s="40" customFormat="1" ht="18" customHeight="1">
      <c r="A19" s="184">
        <f t="shared" si="2"/>
        <v>0.1130139716225948</v>
      </c>
      <c r="B19" s="137">
        <v>4477244</v>
      </c>
      <c r="C19" s="40">
        <v>663510</v>
      </c>
      <c r="D19" s="40">
        <v>1550</v>
      </c>
      <c r="E19" s="40">
        <v>585130</v>
      </c>
      <c r="F19" s="40">
        <v>1550</v>
      </c>
      <c r="G19" s="137">
        <v>39616730</v>
      </c>
      <c r="H19" s="137">
        <v>50600000</v>
      </c>
      <c r="I19" s="137">
        <v>40.700000000000003</v>
      </c>
      <c r="J19" s="137">
        <v>1570</v>
      </c>
      <c r="L19" s="202" t="s">
        <v>159</v>
      </c>
      <c r="M19" s="223">
        <v>2.6190282429223601</v>
      </c>
      <c r="N19" s="179">
        <f t="shared" si="0"/>
        <v>1.2772381769015262</v>
      </c>
      <c r="O19" s="185">
        <f t="shared" si="1"/>
        <v>1251740</v>
      </c>
      <c r="P19" s="181">
        <f>VLOOKUP(L19,GDP!$A$2:$D$27,4,FALSE)</f>
        <v>7.819383259911894E-2</v>
      </c>
      <c r="Q19" s="186">
        <f>VLOOKUP(L19,DPI!$A$1:$B$27,2,FALSE)</f>
        <v>10080</v>
      </c>
      <c r="R19" s="179">
        <v>4.5</v>
      </c>
      <c r="S19" s="187">
        <f t="shared" si="3"/>
        <v>4.4772439999999998</v>
      </c>
      <c r="T19" s="179">
        <v>1</v>
      </c>
      <c r="U19" s="179">
        <v>1</v>
      </c>
      <c r="V19" s="188">
        <f t="shared" si="5"/>
        <v>0.1130139716225948</v>
      </c>
      <c r="X19" s="179">
        <f>SUMPRODUCT($M$32:$V$32,M53:V53)</f>
        <v>64.776155741175117</v>
      </c>
      <c r="Y19" s="181">
        <f>X19/SUM($X$3:$X$28)</f>
        <v>2.103913229679032E-2</v>
      </c>
      <c r="Z19" s="182">
        <f>Y19*$Z$1</f>
        <v>7363696.3038766123</v>
      </c>
      <c r="AB19" s="171"/>
      <c r="AC19" s="171"/>
      <c r="AF19" s="148"/>
      <c r="AG19" s="148">
        <f>200/350</f>
        <v>0.5714285714285714</v>
      </c>
      <c r="AH19" s="148"/>
      <c r="AI19" s="148"/>
      <c r="AJ19" s="148"/>
      <c r="AK19" s="172"/>
      <c r="AL19" s="172"/>
      <c r="AM19" s="172"/>
      <c r="AN19" s="189"/>
      <c r="AO19" s="172"/>
      <c r="AP19" s="190"/>
      <c r="AQ19" s="191"/>
      <c r="AR19" s="190"/>
      <c r="AS19" s="192"/>
      <c r="AT19" s="190"/>
      <c r="AV19" s="44"/>
      <c r="AW19" s="44"/>
      <c r="AX19" s="44"/>
      <c r="AY19" s="44"/>
      <c r="AZ19" s="44"/>
      <c r="BA19" s="44"/>
      <c r="BB19" s="193"/>
      <c r="BC19" s="193"/>
      <c r="BD19" s="44"/>
    </row>
    <row r="20" spans="1:56" s="40" customFormat="1" ht="18" customHeight="1">
      <c r="A20" s="184">
        <f t="shared" si="2"/>
        <v>4.3850772200772197E-3</v>
      </c>
      <c r="B20" s="137">
        <v>227147</v>
      </c>
      <c r="C20" s="40">
        <v>59540</v>
      </c>
      <c r="D20" s="40">
        <v>330</v>
      </c>
      <c r="E20" s="40">
        <v>44400</v>
      </c>
      <c r="F20" s="40">
        <v>330</v>
      </c>
      <c r="G20" s="137">
        <v>51800000</v>
      </c>
      <c r="H20" s="137">
        <v>28714000</v>
      </c>
      <c r="I20" s="137">
        <v>37.700000000000003</v>
      </c>
      <c r="J20" s="137">
        <v>2280</v>
      </c>
      <c r="L20" s="202" t="s">
        <v>176</v>
      </c>
      <c r="M20" s="223">
        <v>4.0416603348890803</v>
      </c>
      <c r="N20" s="179">
        <f t="shared" si="0"/>
        <v>0.55432432432432432</v>
      </c>
      <c r="O20" s="185">
        <f t="shared" si="1"/>
        <v>104600</v>
      </c>
      <c r="P20" s="181">
        <f>VLOOKUP(L20,GDP!$A$2:$D$27,4,FALSE)</f>
        <v>-4.2268592830390528E-2</v>
      </c>
      <c r="Q20" s="186">
        <f>VLOOKUP(L20,DPI!$A$1:$B$27,2,FALSE)</f>
        <v>36230</v>
      </c>
      <c r="R20" s="179">
        <v>8</v>
      </c>
      <c r="S20" s="187">
        <f t="shared" si="3"/>
        <v>0.22714699999999999</v>
      </c>
      <c r="T20" s="179">
        <v>1.1000000000000001</v>
      </c>
      <c r="U20" s="179">
        <v>1</v>
      </c>
      <c r="V20" s="188">
        <f t="shared" si="5"/>
        <v>4.3850772200772197E-3</v>
      </c>
      <c r="X20" s="179">
        <f>SUMPRODUCT($M$32:$V$32,M54:V54)</f>
        <v>77.624375953663829</v>
      </c>
      <c r="Y20" s="181">
        <f>X20/SUM($X$3:$X$28)</f>
        <v>2.5212201873641094E-2</v>
      </c>
      <c r="Z20" s="182">
        <f>Y20*$Z$1</f>
        <v>8824270.6557743829</v>
      </c>
      <c r="AB20" s="171"/>
      <c r="AC20" s="171"/>
      <c r="AF20" s="148"/>
      <c r="AG20" s="148"/>
      <c r="AH20" s="148"/>
      <c r="AI20" s="148"/>
      <c r="AJ20" s="148"/>
      <c r="AK20" s="172"/>
      <c r="AL20" s="172"/>
      <c r="AM20" s="172"/>
      <c r="AN20" s="189"/>
      <c r="AO20" s="172"/>
      <c r="AP20" s="190"/>
      <c r="AQ20" s="191"/>
      <c r="AR20" s="190"/>
      <c r="AS20" s="192"/>
      <c r="AT20" s="190"/>
      <c r="AV20" s="44"/>
      <c r="AW20" s="44"/>
      <c r="AX20" s="44"/>
      <c r="AY20" s="44"/>
      <c r="AZ20" s="44"/>
      <c r="BA20" s="44"/>
      <c r="BB20" s="193"/>
      <c r="BC20" s="193"/>
      <c r="BD20" s="44"/>
    </row>
    <row r="21" spans="1:56" s="40" customFormat="1" ht="18" customHeight="1">
      <c r="A21" s="184">
        <f t="shared" si="2"/>
        <v>0.12419864148508301</v>
      </c>
      <c r="B21" s="194">
        <v>344900</v>
      </c>
      <c r="C21" s="40">
        <v>136500</v>
      </c>
      <c r="D21" s="40">
        <v>570</v>
      </c>
      <c r="E21" s="40">
        <v>69270</v>
      </c>
      <c r="F21" s="40">
        <v>570</v>
      </c>
      <c r="G21" s="137">
        <v>2777003</v>
      </c>
      <c r="H21" s="137">
        <v>1868000</v>
      </c>
      <c r="I21" s="137">
        <v>12</v>
      </c>
      <c r="J21" s="137">
        <v>30</v>
      </c>
      <c r="L21" s="202" t="s">
        <v>119</v>
      </c>
      <c r="M21" s="223">
        <v>2.0528137983237</v>
      </c>
      <c r="N21" s="179">
        <f t="shared" si="0"/>
        <v>0.67266762045269668</v>
      </c>
      <c r="O21" s="185">
        <f t="shared" si="1"/>
        <v>206910</v>
      </c>
      <c r="P21" s="181">
        <f>VLOOKUP(L21,GDP!$A$2:$D$27,4,FALSE)</f>
        <v>2.8394626561704328E-2</v>
      </c>
      <c r="Q21" s="186">
        <f>VLOOKUP(L21,DPI!$A$1:$B$27,2,FALSE)</f>
        <v>2555</v>
      </c>
      <c r="R21" s="179">
        <v>2.8</v>
      </c>
      <c r="S21" s="187">
        <f t="shared" si="3"/>
        <v>0.34489999999999998</v>
      </c>
      <c r="T21" s="179">
        <v>2</v>
      </c>
      <c r="U21" s="179">
        <v>1</v>
      </c>
      <c r="V21" s="188">
        <f t="shared" si="4"/>
        <v>0.12419864148508301</v>
      </c>
      <c r="X21" s="179">
        <f>SUMPRODUCT($M$32:$V$32,M55:V55)</f>
        <v>62.828596888603435</v>
      </c>
      <c r="Y21" s="181">
        <f>X21/SUM($X$3:$X$28)</f>
        <v>2.0406570084874509E-2</v>
      </c>
      <c r="Z21" s="182">
        <f>Y21*$Z$1</f>
        <v>7142299.5297060786</v>
      </c>
      <c r="AB21" s="171"/>
      <c r="AC21" s="171"/>
      <c r="AF21" s="148"/>
      <c r="AG21" s="148"/>
      <c r="AH21" s="148"/>
      <c r="AI21" s="148"/>
      <c r="AJ21" s="148"/>
      <c r="AK21" s="172"/>
      <c r="AL21" s="172"/>
      <c r="AM21" s="172"/>
      <c r="AN21" s="189"/>
      <c r="AO21" s="172"/>
      <c r="AP21" s="190"/>
      <c r="AQ21" s="191"/>
      <c r="AR21" s="190"/>
      <c r="AS21" s="192"/>
      <c r="AT21" s="190"/>
      <c r="AV21" s="44"/>
      <c r="AW21" s="44"/>
      <c r="AX21" s="44"/>
      <c r="AY21" s="44"/>
      <c r="AZ21" s="44"/>
      <c r="BA21" s="44"/>
      <c r="BB21" s="193"/>
      <c r="BC21" s="193"/>
      <c r="BD21" s="44"/>
    </row>
    <row r="22" spans="1:56" s="40" customFormat="1" ht="18" customHeight="1">
      <c r="A22" s="184">
        <f t="shared" si="2"/>
        <v>9.7492624233746064E-2</v>
      </c>
      <c r="B22" s="194">
        <v>1152904</v>
      </c>
      <c r="C22" s="40">
        <v>285990</v>
      </c>
      <c r="D22" s="40">
        <v>990</v>
      </c>
      <c r="E22" s="40">
        <v>221500</v>
      </c>
      <c r="F22" s="40">
        <v>740</v>
      </c>
      <c r="G22" s="137">
        <v>11825551</v>
      </c>
      <c r="H22" s="137">
        <v>14191000</v>
      </c>
      <c r="I22" s="137">
        <v>36.6</v>
      </c>
      <c r="J22" s="137">
        <v>2700</v>
      </c>
      <c r="L22" s="174" t="s">
        <v>183</v>
      </c>
      <c r="M22" s="223">
        <v>6.89969814402001</v>
      </c>
      <c r="N22" s="179">
        <f t="shared" si="0"/>
        <v>1.2000286498278177</v>
      </c>
      <c r="O22" s="185">
        <f t="shared" si="1"/>
        <v>509220</v>
      </c>
      <c r="P22" s="181">
        <f>VLOOKUP(L22,GDP!$A$2:$D$27,4,FALSE)</f>
        <v>3.7650602409638578E-2</v>
      </c>
      <c r="Q22" s="186">
        <f>VLOOKUP(L22,DPI!$A$1:$B$27,2,FALSE)</f>
        <v>37365</v>
      </c>
      <c r="R22" s="179">
        <v>6.5</v>
      </c>
      <c r="S22" s="187">
        <f t="shared" si="3"/>
        <v>1.1529039999999999</v>
      </c>
      <c r="T22" s="179">
        <v>1.1000000000000001</v>
      </c>
      <c r="U22" s="179">
        <v>1</v>
      </c>
      <c r="V22" s="188">
        <f t="shared" si="4"/>
        <v>9.7492624233746064E-2</v>
      </c>
      <c r="X22" s="179">
        <f>SUMPRODUCT($M$32:$V$32,M56:V56)</f>
        <v>76.550765716426412</v>
      </c>
      <c r="Y22" s="181">
        <f>X22/SUM($X$3:$X$28)</f>
        <v>2.4863495971631715E-2</v>
      </c>
      <c r="Z22" s="182">
        <f>Y22*$Z$1</f>
        <v>8702223.5900711007</v>
      </c>
      <c r="AB22" s="171"/>
      <c r="AC22" s="171"/>
      <c r="AF22" s="148"/>
      <c r="AG22" s="148"/>
      <c r="AH22" s="148"/>
      <c r="AI22" s="148"/>
      <c r="AJ22" s="148"/>
      <c r="AK22" s="172"/>
      <c r="AL22" s="172"/>
      <c r="AM22" s="172"/>
      <c r="AN22" s="189"/>
      <c r="AO22" s="172"/>
      <c r="AP22" s="190"/>
      <c r="AQ22" s="191"/>
      <c r="AR22" s="190"/>
      <c r="AS22" s="192"/>
      <c r="AT22" s="190"/>
      <c r="AV22" s="44"/>
      <c r="AW22" s="44"/>
      <c r="AX22" s="44"/>
      <c r="AY22" s="44"/>
      <c r="AZ22" s="44"/>
      <c r="BA22" s="44"/>
      <c r="BB22" s="193"/>
      <c r="BC22" s="193"/>
      <c r="BD22" s="44"/>
    </row>
    <row r="23" spans="1:56" s="40" customFormat="1" ht="18" customHeight="1">
      <c r="A23" s="184">
        <f t="shared" si="2"/>
        <v>2.1331153907519572E-2</v>
      </c>
      <c r="B23" s="194">
        <v>1257134</v>
      </c>
      <c r="C23" s="40">
        <v>1076490</v>
      </c>
      <c r="D23" s="40">
        <v>3370</v>
      </c>
      <c r="E23" s="40">
        <v>1109260</v>
      </c>
      <c r="F23" s="40">
        <v>3220</v>
      </c>
      <c r="G23" s="137">
        <v>58934177</v>
      </c>
      <c r="H23" s="137">
        <v>62207000</v>
      </c>
      <c r="I23" s="137">
        <v>247</v>
      </c>
      <c r="J23" s="137">
        <v>5600</v>
      </c>
      <c r="L23" s="161" t="s">
        <v>165</v>
      </c>
      <c r="M23" s="223">
        <v>4.9967380154360299</v>
      </c>
      <c r="N23" s="179">
        <f t="shared" si="0"/>
        <v>1.0555335319266441</v>
      </c>
      <c r="O23" s="185">
        <f t="shared" si="1"/>
        <v>2192340</v>
      </c>
      <c r="P23" s="181">
        <f>VLOOKUP(L23,GDP!$A$2:$D$27,4,FALSE)</f>
        <v>2.1079258010118007E-2</v>
      </c>
      <c r="Q23" s="186">
        <f>VLOOKUP(L23,DPI!$A$1:$B$27,2,FALSE)</f>
        <v>34703</v>
      </c>
      <c r="R23" s="179">
        <v>7.5</v>
      </c>
      <c r="S23" s="187">
        <f t="shared" si="3"/>
        <v>1.257134</v>
      </c>
      <c r="T23" s="179">
        <v>1.3</v>
      </c>
      <c r="U23" s="179">
        <v>10</v>
      </c>
      <c r="V23" s="188">
        <f t="shared" si="4"/>
        <v>2.1331153907519572E-2</v>
      </c>
      <c r="X23" s="179">
        <f>SUMPRODUCT($M$32:$V$32,M57:V57)</f>
        <v>210.6013890583634</v>
      </c>
      <c r="Y23" s="181">
        <f>X23/SUM($X$3:$X$28)</f>
        <v>6.8402800931735799E-2</v>
      </c>
      <c r="Z23" s="182">
        <f>Y23*$Z$1</f>
        <v>23940980.326107528</v>
      </c>
      <c r="AB23" s="171"/>
      <c r="AC23" s="171"/>
      <c r="AF23" s="148"/>
      <c r="AG23" s="148"/>
      <c r="AH23" s="148"/>
      <c r="AI23" s="148"/>
      <c r="AJ23" s="148"/>
      <c r="AK23" s="172"/>
      <c r="AL23" s="172"/>
      <c r="AM23" s="172"/>
      <c r="AN23" s="189"/>
      <c r="AO23" s="172"/>
      <c r="AP23" s="190"/>
      <c r="AQ23" s="191"/>
      <c r="AR23" s="190"/>
      <c r="AS23" s="192"/>
      <c r="AT23" s="190"/>
      <c r="AV23" s="44"/>
      <c r="AW23" s="44"/>
      <c r="AX23" s="44"/>
      <c r="AY23" s="44"/>
      <c r="AZ23" s="44"/>
      <c r="BA23" s="44"/>
      <c r="BB23" s="193"/>
      <c r="BC23" s="193"/>
      <c r="BD23" s="44"/>
    </row>
    <row r="24" spans="1:56" s="40" customFormat="1" ht="18" customHeight="1">
      <c r="A24" s="184">
        <f t="shared" si="2"/>
        <v>3.6996134331735597E-2</v>
      </c>
      <c r="B24" s="194">
        <v>52696625</v>
      </c>
      <c r="C24" s="40">
        <v>32530</v>
      </c>
      <c r="D24" s="40">
        <v>160</v>
      </c>
      <c r="E24" s="40">
        <v>21260</v>
      </c>
      <c r="F24" s="40">
        <v>160</v>
      </c>
      <c r="G24" s="137">
        <v>1424381924</v>
      </c>
      <c r="H24" s="137">
        <v>154632000</v>
      </c>
      <c r="I24" s="137">
        <v>177</v>
      </c>
      <c r="J24" s="137">
        <v>19650</v>
      </c>
      <c r="L24" s="161" t="s">
        <v>120</v>
      </c>
      <c r="M24" s="223">
        <v>1</v>
      </c>
      <c r="N24" s="179">
        <f t="shared" si="0"/>
        <v>0.10856077109273959</v>
      </c>
      <c r="O24" s="185">
        <f t="shared" si="1"/>
        <v>54110</v>
      </c>
      <c r="P24" s="181">
        <f>VLOOKUP(L24,GDP!$A$2:$D$27,4,FALSE)</f>
        <v>2.5762748026456173E-2</v>
      </c>
      <c r="Q24" s="186">
        <f>VLOOKUP(L24,DPI!$A$1:$B$27,2,FALSE)</f>
        <v>5738</v>
      </c>
      <c r="R24" s="179">
        <v>11.5</v>
      </c>
      <c r="S24" s="187">
        <f t="shared" si="3"/>
        <v>52.696624999999997</v>
      </c>
      <c r="T24" s="179">
        <v>1.7</v>
      </c>
      <c r="U24" s="179">
        <v>10</v>
      </c>
      <c r="V24" s="188">
        <f t="shared" si="4"/>
        <v>3.6996134331735597E-2</v>
      </c>
      <c r="X24" s="179">
        <f>SUMPRODUCT($M$32:$V$32,M58:V58)</f>
        <v>211.99147928669731</v>
      </c>
      <c r="Y24" s="181">
        <f>X24/SUM($X$3:$X$28)</f>
        <v>6.8854298738046688E-2</v>
      </c>
      <c r="Z24" s="182">
        <f>Y24*$Z$1</f>
        <v>24099004.558316339</v>
      </c>
      <c r="AB24" s="171"/>
      <c r="AC24" s="171"/>
      <c r="AF24" s="148"/>
      <c r="AG24" s="148"/>
      <c r="AH24" s="148"/>
      <c r="AI24" s="148"/>
      <c r="AJ24" s="148"/>
      <c r="AK24" s="172"/>
      <c r="AL24" s="172"/>
      <c r="AM24" s="172"/>
      <c r="AN24" s="189"/>
      <c r="AO24" s="172"/>
      <c r="AP24" s="190"/>
      <c r="AQ24" s="191"/>
      <c r="AR24" s="190"/>
      <c r="AS24" s="192"/>
      <c r="AT24" s="190"/>
      <c r="AV24" s="44"/>
      <c r="AW24" s="44"/>
      <c r="AX24" s="44"/>
      <c r="AY24" s="44"/>
      <c r="AZ24" s="44"/>
      <c r="BA24" s="44"/>
      <c r="BB24" s="193"/>
      <c r="BC24" s="193"/>
      <c r="BD24" s="44"/>
    </row>
    <row r="25" spans="1:56" s="40" customFormat="1" ht="18" customHeight="1">
      <c r="A25" s="184">
        <f t="shared" si="2"/>
        <v>0.23580106106430357</v>
      </c>
      <c r="B25" s="194">
        <v>8958075</v>
      </c>
      <c r="C25" s="40">
        <v>390390</v>
      </c>
      <c r="D25" s="40">
        <v>17520</v>
      </c>
      <c r="E25" s="40">
        <v>243830</v>
      </c>
      <c r="F25" s="40">
        <v>13820</v>
      </c>
      <c r="G25" s="137">
        <v>37989969</v>
      </c>
      <c r="H25" s="137">
        <v>27196000</v>
      </c>
      <c r="I25" s="137">
        <v>1452.6</v>
      </c>
      <c r="J25" s="137">
        <v>600</v>
      </c>
      <c r="L25" s="161" t="s">
        <v>155</v>
      </c>
      <c r="M25" s="223">
        <v>2.09125324763095</v>
      </c>
      <c r="N25" s="179">
        <f t="shared" si="0"/>
        <v>0.71587318220765062</v>
      </c>
      <c r="O25" s="185">
        <f t="shared" si="1"/>
        <v>665560</v>
      </c>
      <c r="P25" s="181">
        <f>VLOOKUP(L25,GDP!$A$2:$D$27,4,FALSE)</f>
        <v>-1.4824601652173586E-3</v>
      </c>
      <c r="Q25" s="186">
        <f>VLOOKUP(L25,DPI!$A$1:$B$27,2,FALSE)</f>
        <v>10224</v>
      </c>
      <c r="R25" s="179">
        <v>6.5</v>
      </c>
      <c r="S25" s="187">
        <f t="shared" si="3"/>
        <v>8.9580749999999991</v>
      </c>
      <c r="T25" s="179">
        <v>1.3</v>
      </c>
      <c r="U25" s="179">
        <v>10</v>
      </c>
      <c r="V25" s="188">
        <f t="shared" si="4"/>
        <v>0.23580106106430357</v>
      </c>
      <c r="X25" s="179">
        <f>SUMPRODUCT($M$32:$V$32,M59:V59)</f>
        <v>202.20570006449552</v>
      </c>
      <c r="Y25" s="181">
        <f>X25/SUM($X$3:$X$28)</f>
        <v>6.5675902284485388E-2</v>
      </c>
      <c r="Z25" s="182">
        <f>Y25*$Z$1</f>
        <v>22986565.799569886</v>
      </c>
      <c r="AB25" s="171"/>
      <c r="AC25" s="171"/>
      <c r="AF25" s="148"/>
      <c r="AG25" s="148"/>
      <c r="AH25" s="148"/>
      <c r="AI25" s="148"/>
      <c r="AJ25" s="148"/>
      <c r="AK25" s="172"/>
      <c r="AL25" s="172"/>
      <c r="AM25" s="172"/>
      <c r="AN25" s="189"/>
      <c r="AO25" s="172"/>
      <c r="AP25" s="190"/>
      <c r="AQ25" s="191"/>
      <c r="AR25" s="190"/>
      <c r="AS25" s="192"/>
      <c r="AT25" s="190"/>
      <c r="AV25" s="44"/>
      <c r="AW25" s="44"/>
      <c r="AX25" s="44"/>
      <c r="AY25" s="44"/>
      <c r="AZ25" s="44"/>
      <c r="BA25" s="44"/>
      <c r="BB25" s="193"/>
      <c r="BC25" s="193"/>
      <c r="BD25" s="44"/>
    </row>
    <row r="26" spans="1:56" s="40" customFormat="1" ht="18" customHeight="1">
      <c r="A26" s="184">
        <f t="shared" si="2"/>
        <v>3.8245221019987889E-2</v>
      </c>
      <c r="B26" s="194">
        <v>5504874</v>
      </c>
      <c r="C26" s="40">
        <v>1447698</v>
      </c>
      <c r="D26" s="40">
        <v>27896</v>
      </c>
      <c r="E26" s="40">
        <v>994422</v>
      </c>
      <c r="F26" s="40">
        <v>18822</v>
      </c>
      <c r="G26" s="137">
        <v>143936258</v>
      </c>
      <c r="H26" s="137">
        <v>45330000</v>
      </c>
      <c r="I26" s="137">
        <v>905.5</v>
      </c>
      <c r="J26" s="137">
        <v>500</v>
      </c>
      <c r="L26" s="161" t="s">
        <v>139</v>
      </c>
      <c r="M26" s="223">
        <v>1.95914226804296</v>
      </c>
      <c r="N26" s="179">
        <f t="shared" si="0"/>
        <v>0.31493107178039881</v>
      </c>
      <c r="O26" s="185">
        <f t="shared" si="1"/>
        <v>2488838</v>
      </c>
      <c r="P26" s="181">
        <f>VLOOKUP(L26,GDP!$A$2:$D$27,4,FALSE)</f>
        <v>-3.9333641832485E-2</v>
      </c>
      <c r="Q26" s="186">
        <f>VLOOKUP(L26,DPI!$A$1:$B$27,2,FALSE)</f>
        <v>9053</v>
      </c>
      <c r="R26" s="179">
        <v>3.8</v>
      </c>
      <c r="S26" s="187">
        <f t="shared" si="3"/>
        <v>5.504874</v>
      </c>
      <c r="T26" s="179">
        <v>1.1000000000000001</v>
      </c>
      <c r="U26" s="179">
        <v>10</v>
      </c>
      <c r="V26" s="188">
        <f t="shared" si="4"/>
        <v>3.8245221019987889E-2</v>
      </c>
      <c r="X26" s="179">
        <f>SUMPRODUCT($M$32:$V$32,M60:V60)</f>
        <v>193.98379846474327</v>
      </c>
      <c r="Y26" s="181">
        <f>X26/SUM($X$3:$X$28)</f>
        <v>6.3005449345296477E-2</v>
      </c>
      <c r="Z26" s="182">
        <f>Y26*$Z$1</f>
        <v>22051907.270853765</v>
      </c>
      <c r="AB26" s="171"/>
      <c r="AC26" s="171"/>
      <c r="AF26" s="148"/>
      <c r="AG26" s="148"/>
      <c r="AH26" s="148"/>
      <c r="AI26" s="148"/>
      <c r="AJ26" s="148"/>
      <c r="AK26" s="172"/>
      <c r="AL26" s="172"/>
      <c r="AM26" s="172"/>
      <c r="AN26" s="189"/>
      <c r="AO26" s="172"/>
      <c r="AP26" s="190"/>
      <c r="AQ26" s="191"/>
      <c r="AR26" s="190"/>
      <c r="AS26" s="192"/>
      <c r="AT26" s="190"/>
      <c r="AV26" s="44"/>
      <c r="AW26" s="44"/>
      <c r="AX26" s="44"/>
      <c r="AY26" s="44"/>
      <c r="AZ26" s="44"/>
      <c r="BA26" s="44"/>
      <c r="BB26" s="193"/>
      <c r="BC26" s="193"/>
      <c r="BD26" s="44"/>
    </row>
    <row r="27" spans="1:56" s="40" customFormat="1" ht="18" customHeight="1">
      <c r="A27" s="184">
        <f t="shared" si="2"/>
        <v>0.64767526861083236</v>
      </c>
      <c r="B27" s="194">
        <v>2841422</v>
      </c>
      <c r="C27" s="40">
        <v>156750</v>
      </c>
      <c r="D27" s="40">
        <v>14530</v>
      </c>
      <c r="E27" s="40">
        <v>136790</v>
      </c>
      <c r="F27" s="40">
        <v>11620</v>
      </c>
      <c r="G27" s="137">
        <v>4387109</v>
      </c>
      <c r="H27" s="137">
        <v>2950000</v>
      </c>
      <c r="I27" s="137">
        <v>84</v>
      </c>
      <c r="J27" s="137">
        <v>50</v>
      </c>
      <c r="L27" s="203" t="s">
        <v>146</v>
      </c>
      <c r="M27" s="223">
        <v>2.6880375573512501</v>
      </c>
      <c r="N27" s="179">
        <f t="shared" si="0"/>
        <v>0.67242459669910182</v>
      </c>
      <c r="O27" s="185">
        <f t="shared" si="1"/>
        <v>319690</v>
      </c>
      <c r="P27" s="181">
        <f>VLOOKUP(L27,GDP!$A$2:$D$27,4,FALSE)</f>
        <v>-3.4477322032188118E-2</v>
      </c>
      <c r="Q27" s="186">
        <f>VLOOKUP(L27,DPI!$A$1:$B$27,2,FALSE)</f>
        <v>26600</v>
      </c>
      <c r="R27" s="179">
        <v>5.2</v>
      </c>
      <c r="S27" s="187">
        <f t="shared" si="3"/>
        <v>2.8414220000000001</v>
      </c>
      <c r="T27" s="179">
        <v>1.1000000000000001</v>
      </c>
      <c r="U27" s="179">
        <v>0.05</v>
      </c>
      <c r="V27" s="188">
        <f t="shared" si="4"/>
        <v>0.64767526861083236</v>
      </c>
      <c r="X27" s="179">
        <f>SUMPRODUCT($M$32:$V$32,M61:V61)</f>
        <v>55.155707743779843</v>
      </c>
      <c r="Y27" s="181">
        <f>X27/SUM($X$3:$X$28)</f>
        <v>1.791443500878916E-2</v>
      </c>
      <c r="Z27" s="182">
        <f>Y27*$Z$1</f>
        <v>6270052.253076206</v>
      </c>
      <c r="AB27" s="171"/>
      <c r="AC27" s="171"/>
      <c r="AF27" s="148"/>
      <c r="AG27" s="148"/>
      <c r="AH27" s="148"/>
      <c r="AI27" s="148"/>
      <c r="AJ27" s="148"/>
      <c r="AK27" s="172"/>
      <c r="AL27" s="172"/>
      <c r="AM27" s="172"/>
      <c r="AN27" s="189"/>
      <c r="AO27" s="172"/>
      <c r="AP27" s="190"/>
      <c r="AQ27" s="191"/>
      <c r="AR27" s="190"/>
      <c r="AS27" s="192"/>
      <c r="AT27" s="190"/>
      <c r="AV27" s="44"/>
      <c r="AW27" s="44"/>
      <c r="AX27" s="44"/>
      <c r="AY27" s="44"/>
      <c r="AZ27" s="44"/>
      <c r="BA27" s="44"/>
      <c r="BB27" s="193"/>
      <c r="BC27" s="193"/>
      <c r="BD27" s="44"/>
    </row>
    <row r="28" spans="1:56" s="40" customFormat="1" ht="18" customHeight="1">
      <c r="A28" s="184">
        <f t="shared" si="2"/>
        <v>8.1823974161692375E-2</v>
      </c>
      <c r="B28" s="137">
        <v>119021703</v>
      </c>
      <c r="C28" s="40">
        <v>3792180</v>
      </c>
      <c r="D28" s="40">
        <v>206010</v>
      </c>
      <c r="E28" s="40">
        <v>2800880</v>
      </c>
      <c r="F28" s="40">
        <v>111580</v>
      </c>
      <c r="G28" s="137">
        <v>1454606724</v>
      </c>
      <c r="H28" s="137">
        <v>26915000</v>
      </c>
      <c r="I28" s="137">
        <v>2200.3000000000002</v>
      </c>
      <c r="J28" s="137">
        <v>1340</v>
      </c>
      <c r="L28" s="161" t="s">
        <v>61</v>
      </c>
      <c r="M28" s="223">
        <v>3.31163509618922</v>
      </c>
      <c r="N28" s="179">
        <f t="shared" si="0"/>
        <v>1.8503283090832184E-2</v>
      </c>
      <c r="O28" s="185">
        <f t="shared" si="1"/>
        <v>6910650</v>
      </c>
      <c r="P28" s="181">
        <f>VLOOKUP(L28,GDP!$A$2:$D$27,4,FALSE)</f>
        <v>7.1117932975185427E-2</v>
      </c>
      <c r="Q28" s="186">
        <f>VLOOKUP(L28,DPI!$A$1:$B$27,2,FALSE)</f>
        <v>2531</v>
      </c>
      <c r="R28" s="179">
        <v>3.5</v>
      </c>
      <c r="S28" s="187">
        <f t="shared" si="3"/>
        <v>119.021703</v>
      </c>
      <c r="T28" s="179">
        <v>2.1</v>
      </c>
      <c r="U28" s="179">
        <v>10</v>
      </c>
      <c r="V28" s="188">
        <f t="shared" si="4"/>
        <v>8.1823974161692375E-2</v>
      </c>
      <c r="X28" s="179">
        <f>SUMPRODUCT($M$32:$V$32,M62:V62)</f>
        <v>199.52773530186911</v>
      </c>
      <c r="Y28" s="181">
        <f>X28/SUM($X$3:$X$28)</f>
        <v>6.4806106071938221E-2</v>
      </c>
      <c r="Z28" s="182">
        <f>Y28*$Z$1</f>
        <v>22682137.125178378</v>
      </c>
      <c r="AB28" s="171"/>
      <c r="AC28" s="171"/>
      <c r="AF28" s="148"/>
      <c r="AG28" s="148"/>
      <c r="AH28" s="148"/>
      <c r="AI28" s="148"/>
      <c r="AJ28" s="148"/>
      <c r="AK28" s="172"/>
      <c r="AL28" s="172"/>
      <c r="AM28" s="172"/>
      <c r="AN28" s="189"/>
      <c r="AO28" s="172"/>
      <c r="AP28" s="190"/>
      <c r="AQ28" s="191"/>
      <c r="AR28" s="190"/>
      <c r="AS28" s="192"/>
      <c r="AT28" s="190"/>
      <c r="AV28" s="44"/>
      <c r="AW28" s="44"/>
      <c r="AX28" s="44"/>
      <c r="AY28" s="44"/>
      <c r="AZ28" s="44"/>
      <c r="BA28" s="44"/>
      <c r="BB28" s="193"/>
      <c r="BC28" s="193"/>
      <c r="BD28" s="44"/>
    </row>
    <row r="29" spans="1:56" s="204" customFormat="1" ht="18" customHeight="1">
      <c r="L29" s="205" t="s">
        <v>225</v>
      </c>
      <c r="M29" s="206">
        <f t="shared" ref="M29:V29" si="6">AVERAGE(M3:M28)</f>
        <v>3.9551647305276822</v>
      </c>
      <c r="N29" s="206">
        <f t="shared" si="6"/>
        <v>0.80642574361252295</v>
      </c>
      <c r="O29" s="206">
        <f t="shared" si="6"/>
        <v>2488839.5384615385</v>
      </c>
      <c r="P29" s="207">
        <f t="shared" si="6"/>
        <v>2.0782253996047519E-2</v>
      </c>
      <c r="Q29" s="206">
        <f t="shared" si="6"/>
        <v>23162.692307692309</v>
      </c>
      <c r="R29" s="208">
        <f t="shared" si="6"/>
        <v>6.161538461538461</v>
      </c>
      <c r="S29" s="208">
        <f t="shared" si="6"/>
        <v>9.6194111153846151</v>
      </c>
      <c r="T29" s="208">
        <f t="shared" si="6"/>
        <v>2.1153846153846159</v>
      </c>
      <c r="U29" s="208">
        <f t="shared" si="6"/>
        <v>4.0076923076923077</v>
      </c>
      <c r="V29" s="209">
        <f t="shared" si="6"/>
        <v>0.16470715053166149</v>
      </c>
      <c r="W29" s="40"/>
      <c r="X29" s="210"/>
      <c r="Y29" s="211"/>
      <c r="Z29" s="170" t="b">
        <f>+SUM(Z3:Z28)=Z1</f>
        <v>1</v>
      </c>
      <c r="AA29" s="40"/>
      <c r="AB29" s="148"/>
      <c r="AC29" s="148"/>
      <c r="AD29" s="40"/>
      <c r="AE29" s="40"/>
      <c r="AF29" s="148"/>
      <c r="AG29" s="212"/>
      <c r="AH29" s="212"/>
      <c r="AI29" s="212"/>
      <c r="AJ29" s="213"/>
      <c r="AK29" s="213"/>
      <c r="AL29" s="213"/>
      <c r="AM29" s="213"/>
      <c r="AN29" s="214"/>
      <c r="AO29" s="213"/>
      <c r="AP29" s="215"/>
      <c r="AQ29" s="216"/>
      <c r="AV29" s="217"/>
      <c r="AW29" s="217"/>
      <c r="AX29" s="217"/>
      <c r="AY29" s="217"/>
      <c r="AZ29" s="217"/>
      <c r="BA29" s="217"/>
      <c r="BB29" s="217"/>
      <c r="BC29" s="218"/>
      <c r="BD29" s="217"/>
    </row>
    <row r="30" spans="1:56" s="40" customFormat="1" ht="18" customHeight="1">
      <c r="L30" s="219" t="s">
        <v>226</v>
      </c>
      <c r="M30" s="185">
        <f t="shared" ref="M30:V30" si="7">STDEV(M3:M28)</f>
        <v>2.1005276106907034</v>
      </c>
      <c r="N30" s="185">
        <f t="shared" si="7"/>
        <v>0.46157889241144817</v>
      </c>
      <c r="O30" s="185">
        <f t="shared" si="7"/>
        <v>5695386.157402494</v>
      </c>
      <c r="P30" s="220">
        <f t="shared" si="7"/>
        <v>4.6847440569404465E-2</v>
      </c>
      <c r="Q30" s="185">
        <f t="shared" si="7"/>
        <v>16052.907653803359</v>
      </c>
      <c r="R30" s="185">
        <f t="shared" si="7"/>
        <v>2.6731370220139397</v>
      </c>
      <c r="S30" s="185">
        <f t="shared" si="7"/>
        <v>24.493177048303224</v>
      </c>
      <c r="T30" s="185">
        <f t="shared" si="7"/>
        <v>1.8200422649361319</v>
      </c>
      <c r="U30" s="185">
        <f t="shared" si="7"/>
        <v>4.4650127056413247</v>
      </c>
      <c r="V30" s="220">
        <f t="shared" si="7"/>
        <v>0.24299524374432224</v>
      </c>
      <c r="X30" s="136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V30" s="44"/>
      <c r="AW30" s="44"/>
      <c r="AX30" s="44"/>
      <c r="AY30" s="44"/>
      <c r="AZ30" s="44"/>
      <c r="BA30" s="44"/>
      <c r="BB30" s="44"/>
      <c r="BC30" s="221"/>
      <c r="BD30" s="44"/>
    </row>
    <row r="31" spans="1:56" s="40" customFormat="1" ht="31" customHeight="1">
      <c r="U31" s="41" t="s">
        <v>615</v>
      </c>
      <c r="W31"/>
      <c r="X31" s="136"/>
      <c r="AC31" s="137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V31" s="44"/>
      <c r="AW31" s="44"/>
      <c r="AX31" s="44"/>
      <c r="AY31" s="44"/>
      <c r="AZ31" s="44"/>
      <c r="BA31" s="44"/>
      <c r="BB31" s="44"/>
      <c r="BC31" s="44"/>
      <c r="BD31" s="44"/>
    </row>
    <row r="32" spans="1:56" ht="45" customHeight="1">
      <c r="L32" s="155" t="s">
        <v>612</v>
      </c>
      <c r="M32" s="164">
        <v>5</v>
      </c>
      <c r="N32" s="164">
        <v>0.5</v>
      </c>
      <c r="O32" s="164">
        <v>2</v>
      </c>
      <c r="P32" s="164">
        <v>1</v>
      </c>
      <c r="Q32" s="164">
        <v>5</v>
      </c>
      <c r="R32" s="164">
        <v>20</v>
      </c>
      <c r="S32" s="164">
        <v>2</v>
      </c>
      <c r="T32" s="164">
        <v>15</v>
      </c>
      <c r="U32" s="164">
        <v>200</v>
      </c>
      <c r="V32" s="164">
        <v>0.01</v>
      </c>
      <c r="X32" s="2"/>
      <c r="AC32" s="62"/>
    </row>
    <row r="33" spans="1:56">
      <c r="D33" s="1"/>
      <c r="E33" s="62"/>
      <c r="L33" s="58"/>
      <c r="M33" s="2"/>
      <c r="N33" s="2"/>
      <c r="O33" s="2"/>
      <c r="P33" s="2"/>
      <c r="Q33" s="2"/>
      <c r="R33" s="2"/>
      <c r="S33" s="2"/>
      <c r="T33" s="2"/>
      <c r="U33" s="2"/>
      <c r="V33" s="2"/>
      <c r="X33" s="2"/>
      <c r="AO33" s="146"/>
      <c r="AP33" s="59"/>
    </row>
    <row r="34" spans="1:56">
      <c r="D34" s="125"/>
      <c r="E34" s="62"/>
      <c r="M34" s="2"/>
      <c r="N34" s="2"/>
      <c r="O34" s="2"/>
      <c r="P34" s="2"/>
      <c r="Q34" s="2"/>
      <c r="R34" s="2"/>
      <c r="S34" s="2"/>
      <c r="T34" s="2"/>
      <c r="U34" s="2"/>
      <c r="V34" s="2"/>
      <c r="X34" s="2"/>
      <c r="AO34" s="146"/>
      <c r="AP34" s="60"/>
    </row>
    <row r="35" spans="1:56">
      <c r="A35" s="147"/>
      <c r="B35" s="147"/>
      <c r="C35" s="147"/>
      <c r="D35" s="125"/>
      <c r="E35" s="151"/>
      <c r="F35" s="147"/>
      <c r="G35" s="147"/>
      <c r="K35" s="162" t="s">
        <v>602</v>
      </c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56" ht="66.5" customHeight="1">
      <c r="A36" s="147"/>
      <c r="B36" s="147"/>
      <c r="C36" s="152"/>
      <c r="D36" s="125"/>
      <c r="E36" s="151"/>
      <c r="F36" s="147"/>
      <c r="G36" s="147"/>
      <c r="K36" s="155" t="s">
        <v>684</v>
      </c>
      <c r="L36" s="159" t="s">
        <v>212</v>
      </c>
      <c r="M36" s="160" t="str">
        <f>_xlfn.CONCAT(M2," Index")</f>
        <v>Spends Per Trip Index</v>
      </c>
      <c r="N36" s="160" t="str">
        <f>_xlfn.CONCAT(N2," Index")</f>
        <v>Tourist Departures / Population Index</v>
      </c>
      <c r="O36" s="160" t="str">
        <f>_xlfn.CONCAT(O2," Index")</f>
        <v>Search Volume  - 'Flight to Abu Dhabi' Index</v>
      </c>
      <c r="P36" s="160" t="str">
        <f>_xlfn.CONCAT(P2," Index")</f>
        <v>GDP - Growth Index</v>
      </c>
      <c r="Q36" s="160" t="str">
        <f>_xlfn.CONCAT(Q2," Index")</f>
        <v>Disposable Personal Income (USD) Index</v>
      </c>
      <c r="R36" s="160" t="str">
        <f>_xlfn.CONCAT(R2," Index")</f>
        <v>Media Cost Index</v>
      </c>
      <c r="S36" s="160" t="str">
        <f>_xlfn.CONCAT(S2," Index")</f>
        <v>Global Explorers (Audience M) Index</v>
      </c>
      <c r="T36" s="160" t="str">
        <f>_xlfn.CONCAT(T2," Index")</f>
        <v>Budget Split Index</v>
      </c>
      <c r="U36" s="160" t="str">
        <f>_xlfn.CONCAT(U2," Index")</f>
        <v>Market Tiering Index</v>
      </c>
      <c r="V36" s="160" t="str">
        <f>_xlfn.CONCAT(V2," Index")</f>
        <v>Audience Ratio vs. Total Population  Index</v>
      </c>
      <c r="AP36" s="147"/>
      <c r="AQ36" s="147"/>
      <c r="AR36" s="147"/>
    </row>
    <row r="37" spans="1:56" s="40" customFormat="1" ht="19" customHeight="1">
      <c r="A37" s="148"/>
      <c r="B37" s="148"/>
      <c r="C37" s="167"/>
      <c r="D37" s="168"/>
      <c r="E37" s="169"/>
      <c r="F37" s="148"/>
      <c r="G37" s="148"/>
      <c r="K37" s="177" t="s">
        <v>610</v>
      </c>
      <c r="L37" s="178" t="s">
        <v>322</v>
      </c>
      <c r="M37" s="179">
        <f t="shared" ref="M37:V37" si="8">_xlfn.NORM.DIST(M3,M$29,M$30,TRUE)</f>
        <v>0.81422715129688372</v>
      </c>
      <c r="N37" s="179">
        <f t="shared" si="8"/>
        <v>0.96867420498287937</v>
      </c>
      <c r="O37" s="179">
        <f t="shared" si="8"/>
        <v>0.99999826846005035</v>
      </c>
      <c r="P37" s="179">
        <f t="shared" si="8"/>
        <v>0.5056648657776468</v>
      </c>
      <c r="Q37" s="179">
        <f t="shared" si="8"/>
        <v>0.78841485860456006</v>
      </c>
      <c r="R37" s="179">
        <f>_xlfn.NORM.DIST(R3,R$29,R$30,TRUE)</f>
        <v>0.73004062442264184</v>
      </c>
      <c r="S37" s="179">
        <f t="shared" si="8"/>
        <v>0.41852038593399365</v>
      </c>
      <c r="T37" s="179">
        <f t="shared" si="8"/>
        <v>0.99999261549825236</v>
      </c>
      <c r="U37" s="179">
        <f t="shared" si="8"/>
        <v>0.32648146758823116</v>
      </c>
      <c r="V37" s="179">
        <f t="shared" si="8"/>
        <v>0.83729572578810463</v>
      </c>
      <c r="AH37" s="148">
        <v>7.8</v>
      </c>
      <c r="AI37" s="148"/>
      <c r="AJ37" s="148"/>
      <c r="AK37" s="148"/>
      <c r="AL37" s="172"/>
      <c r="AM37" s="148"/>
      <c r="AN37" s="148"/>
      <c r="AO37" s="172"/>
      <c r="AP37" s="148"/>
      <c r="AQ37" s="173"/>
      <c r="AR37" s="148"/>
      <c r="AV37" s="44"/>
      <c r="AW37" s="44"/>
      <c r="AX37" s="44"/>
      <c r="AY37" s="44"/>
      <c r="AZ37" s="44"/>
      <c r="BA37" s="44"/>
      <c r="BB37" s="44"/>
      <c r="BC37" s="44"/>
      <c r="BD37" s="44"/>
    </row>
    <row r="38" spans="1:56" s="40" customFormat="1" ht="19" customHeight="1">
      <c r="A38" s="148"/>
      <c r="B38" s="148"/>
      <c r="C38" s="167"/>
      <c r="D38" s="168"/>
      <c r="E38" s="169"/>
      <c r="F38" s="148"/>
      <c r="G38" s="148"/>
      <c r="K38" s="177" t="s">
        <v>610</v>
      </c>
      <c r="L38" s="178" t="s">
        <v>229</v>
      </c>
      <c r="M38" s="179">
        <f t="shared" ref="M38:V38" si="9">_xlfn.NORM.DIST(M4,M$29,M$30,TRUE)</f>
        <v>0.99799751467797948</v>
      </c>
      <c r="N38" s="179">
        <f t="shared" si="9"/>
        <v>0.24788984316627044</v>
      </c>
      <c r="O38" s="179">
        <f t="shared" si="9"/>
        <v>0.73717013498489337</v>
      </c>
      <c r="P38" s="179">
        <f t="shared" si="9"/>
        <v>0.69988111695725286</v>
      </c>
      <c r="Q38" s="179">
        <f t="shared" si="9"/>
        <v>0.9907024261317694</v>
      </c>
      <c r="R38" s="179">
        <f>_xlfn.NORM.DIST(R4,R$29,R$30,TRUE)</f>
        <v>0.98552341491133066</v>
      </c>
      <c r="S38" s="179">
        <f t="shared" si="9"/>
        <v>0.54466255845509759</v>
      </c>
      <c r="T38" s="179">
        <f t="shared" si="9"/>
        <v>0.58368208003951216</v>
      </c>
      <c r="U38" s="179">
        <f t="shared" si="9"/>
        <v>0.91021146539869535</v>
      </c>
      <c r="V38" s="179">
        <f t="shared" si="9"/>
        <v>0.29759889523055544</v>
      </c>
      <c r="AH38" s="148">
        <v>12</v>
      </c>
      <c r="AI38" s="148"/>
      <c r="AJ38" s="148"/>
      <c r="AK38" s="148"/>
      <c r="AL38" s="172"/>
      <c r="AM38" s="148"/>
      <c r="AN38" s="148"/>
      <c r="AO38" s="172"/>
      <c r="AP38" s="148"/>
      <c r="AQ38" s="173"/>
      <c r="AR38" s="148"/>
      <c r="AV38" s="44"/>
      <c r="AW38" s="44"/>
      <c r="AX38" s="44"/>
      <c r="AY38" s="44"/>
      <c r="AZ38" s="44"/>
      <c r="BA38" s="44"/>
      <c r="BB38" s="44"/>
      <c r="BC38" s="44"/>
      <c r="BD38" s="44"/>
    </row>
    <row r="39" spans="1:56" s="40" customFormat="1" ht="19" customHeight="1">
      <c r="A39" s="148"/>
      <c r="B39" s="148"/>
      <c r="C39" s="167"/>
      <c r="D39" s="168"/>
      <c r="E39" s="169"/>
      <c r="F39" s="148"/>
      <c r="G39" s="148"/>
      <c r="K39" s="177" t="s">
        <v>610</v>
      </c>
      <c r="L39" s="178" t="s">
        <v>230</v>
      </c>
      <c r="M39" s="179">
        <f t="shared" ref="M39:V39" si="10">_xlfn.NORM.DIST(M5,M$29,M$30,TRUE)</f>
        <v>0.83535600950523758</v>
      </c>
      <c r="N39" s="179">
        <f t="shared" si="10"/>
        <v>0.8751938229787446</v>
      </c>
      <c r="O39" s="179">
        <f t="shared" si="10"/>
        <v>0.6271556207490212</v>
      </c>
      <c r="P39" s="179">
        <f t="shared" si="10"/>
        <v>0.75761730879535794</v>
      </c>
      <c r="Q39" s="179">
        <f t="shared" si="10"/>
        <v>0.78944125289433775</v>
      </c>
      <c r="R39" s="179">
        <f>_xlfn.NORM.DIST(R5,R$29,R$30,TRUE)</f>
        <v>0.89414785444377365</v>
      </c>
      <c r="S39" s="179">
        <f t="shared" si="10"/>
        <v>0.44112352172088848</v>
      </c>
      <c r="T39" s="179">
        <f t="shared" si="10"/>
        <v>0.60498282418382177</v>
      </c>
      <c r="U39" s="179">
        <f t="shared" si="10"/>
        <v>0.91021146539869535</v>
      </c>
      <c r="V39" s="179">
        <f t="shared" si="10"/>
        <v>0.37317589387378924</v>
      </c>
      <c r="AH39" s="148">
        <v>9.5</v>
      </c>
      <c r="AI39" s="148"/>
      <c r="AJ39" s="148"/>
      <c r="AK39" s="148"/>
      <c r="AL39" s="172"/>
      <c r="AM39" s="148"/>
      <c r="AN39" s="148"/>
      <c r="AO39" s="172"/>
      <c r="AP39" s="148"/>
      <c r="AQ39" s="173"/>
      <c r="AR39" s="148"/>
      <c r="AV39" s="44"/>
      <c r="AW39" s="44"/>
      <c r="AX39" s="44"/>
      <c r="AY39" s="44"/>
      <c r="AZ39" s="44"/>
      <c r="BA39" s="44"/>
      <c r="BB39" s="44"/>
      <c r="BC39" s="44"/>
      <c r="BD39" s="44"/>
    </row>
    <row r="40" spans="1:56" s="40" customFormat="1" ht="19" customHeight="1">
      <c r="A40" s="148"/>
      <c r="B40" s="148"/>
      <c r="C40" s="167"/>
      <c r="D40" s="168"/>
      <c r="E40" s="169"/>
      <c r="F40" s="148"/>
      <c r="G40" s="148"/>
      <c r="K40" s="177" t="s">
        <v>610</v>
      </c>
      <c r="L40" s="178" t="s">
        <v>187</v>
      </c>
      <c r="M40" s="179">
        <f t="shared" ref="M40:V40" si="11">_xlfn.NORM.DIST(M6,M$29,M$30,TRUE)</f>
        <v>0.59926380505224686</v>
      </c>
      <c r="N40" s="179">
        <f t="shared" si="11"/>
        <v>0.79737301344888045</v>
      </c>
      <c r="O40" s="179">
        <f t="shared" si="11"/>
        <v>0.5179035262084446</v>
      </c>
      <c r="P40" s="179">
        <f t="shared" si="11"/>
        <v>0.48025662443799666</v>
      </c>
      <c r="Q40" s="179">
        <f t="shared" si="11"/>
        <v>0.88481922656338963</v>
      </c>
      <c r="R40" s="179">
        <f>_xlfn.NORM.DIST(R6,R$29,R$30,TRUE)</f>
        <v>0.69171173816824461</v>
      </c>
      <c r="S40" s="179">
        <f t="shared" si="11"/>
        <v>0.42884031100615938</v>
      </c>
      <c r="T40" s="179">
        <f t="shared" si="11"/>
        <v>0.38852257824955788</v>
      </c>
      <c r="U40" s="179">
        <f t="shared" si="11"/>
        <v>0.91021146539869535</v>
      </c>
      <c r="V40" s="179">
        <f t="shared" si="11"/>
        <v>0.33705654480039743</v>
      </c>
      <c r="AH40" s="148">
        <v>7.5</v>
      </c>
      <c r="AI40" s="148"/>
      <c r="AJ40" s="148"/>
      <c r="AK40" s="148"/>
      <c r="AL40" s="172"/>
      <c r="AM40" s="148"/>
      <c r="AN40" s="148"/>
      <c r="AO40" s="172"/>
      <c r="AP40" s="148"/>
      <c r="AQ40" s="173"/>
      <c r="AR40" s="148"/>
      <c r="AV40" s="44"/>
      <c r="AW40" s="44"/>
      <c r="AX40" s="44"/>
      <c r="AY40" s="44"/>
      <c r="AZ40" s="44"/>
      <c r="BA40" s="44"/>
      <c r="BB40" s="44"/>
      <c r="BC40" s="44"/>
      <c r="BD40" s="44"/>
    </row>
    <row r="41" spans="1:56" s="40" customFormat="1" ht="19" customHeight="1">
      <c r="A41" s="148"/>
      <c r="B41" s="148"/>
      <c r="C41" s="167"/>
      <c r="D41" s="168"/>
      <c r="E41" s="169"/>
      <c r="F41" s="148"/>
      <c r="G41" s="148"/>
      <c r="K41" s="177" t="s">
        <v>610</v>
      </c>
      <c r="L41" s="178" t="s">
        <v>167</v>
      </c>
      <c r="M41" s="179">
        <f t="shared" ref="M41:V41" si="12">_xlfn.NORM.DIST(M7,M$29,M$30,TRUE)</f>
        <v>0.81174905857332424</v>
      </c>
      <c r="N41" s="179">
        <f t="shared" si="12"/>
        <v>0.4421324280966708</v>
      </c>
      <c r="O41" s="179">
        <f t="shared" si="12"/>
        <v>0.50093585368183191</v>
      </c>
      <c r="P41" s="179">
        <f t="shared" si="12"/>
        <v>0.4550832076344451</v>
      </c>
      <c r="Q41" s="179">
        <f t="shared" si="12"/>
        <v>0.7695773526096612</v>
      </c>
      <c r="R41" s="179">
        <f>_xlfn.NORM.DIST(R7,R$29,R$30,TRUE)</f>
        <v>0.6231111223999517</v>
      </c>
      <c r="S41" s="179">
        <f t="shared" si="12"/>
        <v>0.41539387788687387</v>
      </c>
      <c r="T41" s="179">
        <f t="shared" si="12"/>
        <v>0.38852257824955788</v>
      </c>
      <c r="U41" s="179">
        <f t="shared" si="12"/>
        <v>0.91021146539869535</v>
      </c>
      <c r="V41" s="179">
        <f t="shared" si="12"/>
        <v>0.34197668048073848</v>
      </c>
      <c r="AH41" s="148">
        <v>7</v>
      </c>
      <c r="AI41" s="148"/>
      <c r="AJ41" s="148"/>
      <c r="AK41" s="148"/>
      <c r="AL41" s="172"/>
      <c r="AM41" s="148"/>
      <c r="AN41" s="148"/>
      <c r="AO41" s="172"/>
      <c r="AP41" s="148"/>
      <c r="AQ41" s="173"/>
      <c r="AR41" s="148"/>
      <c r="AV41" s="44"/>
      <c r="AW41" s="44"/>
      <c r="AX41" s="44"/>
      <c r="AY41" s="44"/>
      <c r="AZ41" s="44"/>
      <c r="BA41" s="44"/>
      <c r="BB41" s="44"/>
      <c r="BC41" s="44"/>
      <c r="BD41" s="44"/>
    </row>
    <row r="42" spans="1:56" s="40" customFormat="1" ht="19" customHeight="1">
      <c r="A42" s="148"/>
      <c r="B42" s="148"/>
      <c r="C42" s="167"/>
      <c r="D42" s="168"/>
      <c r="E42" s="169"/>
      <c r="F42" s="148"/>
      <c r="G42" s="148"/>
      <c r="K42" s="177" t="s">
        <v>611</v>
      </c>
      <c r="L42" s="180" t="s">
        <v>90</v>
      </c>
      <c r="M42" s="179">
        <f t="shared" ref="M42:V42" si="13">_xlfn.NORM.DIST(M8,M$29,M$30,TRUE)</f>
        <v>8.465334290677301E-2</v>
      </c>
      <c r="N42" s="179">
        <f t="shared" si="13"/>
        <v>0.17240985556865748</v>
      </c>
      <c r="O42" s="179">
        <f t="shared" si="13"/>
        <v>0.35330545377409794</v>
      </c>
      <c r="P42" s="179">
        <f t="shared" si="13"/>
        <v>7.4158207710434262E-3</v>
      </c>
      <c r="Q42" s="179">
        <f t="shared" si="13"/>
        <v>9.4452751393295883E-2</v>
      </c>
      <c r="R42" s="179">
        <f>_xlfn.NORM.DIST(R8,R$29,R$30,TRUE)</f>
        <v>0.13395493014164964</v>
      </c>
      <c r="S42" s="179">
        <f t="shared" si="13"/>
        <v>0.44053092607356398</v>
      </c>
      <c r="T42" s="179">
        <f t="shared" si="13"/>
        <v>0.26999290200934667</v>
      </c>
      <c r="U42" s="179">
        <f t="shared" si="13"/>
        <v>0.25027857168592754</v>
      </c>
      <c r="V42" s="179">
        <f t="shared" si="13"/>
        <v>0.32022536777788735</v>
      </c>
      <c r="AH42" s="148">
        <v>3.2</v>
      </c>
      <c r="AI42" s="148"/>
      <c r="AJ42" s="148"/>
      <c r="AK42" s="148"/>
      <c r="AL42" s="172"/>
      <c r="AM42" s="148"/>
      <c r="AN42" s="148"/>
      <c r="AO42" s="172"/>
      <c r="AP42" s="148"/>
      <c r="AQ42" s="173"/>
      <c r="AR42" s="148"/>
      <c r="AV42" s="44"/>
      <c r="AW42" s="44"/>
      <c r="AX42" s="44"/>
      <c r="AY42" s="44"/>
      <c r="AZ42" s="44"/>
      <c r="BA42" s="44"/>
      <c r="BB42" s="44"/>
      <c r="BC42" s="44"/>
      <c r="BD42" s="44"/>
    </row>
    <row r="43" spans="1:56" s="40" customFormat="1" ht="19" customHeight="1">
      <c r="A43" s="148"/>
      <c r="B43" s="148"/>
      <c r="C43" s="167"/>
      <c r="D43" s="168"/>
      <c r="E43" s="169"/>
      <c r="F43" s="148"/>
      <c r="G43" s="148"/>
      <c r="K43" s="177" t="s">
        <v>611</v>
      </c>
      <c r="L43" s="180" t="s">
        <v>323</v>
      </c>
      <c r="M43" s="179">
        <f t="shared" ref="M43:V43" si="14">_xlfn.NORM.DIST(M9,M$29,M$30,TRUE)</f>
        <v>0.18608978482975522</v>
      </c>
      <c r="N43" s="179">
        <f t="shared" si="14"/>
        <v>0.27146644633801698</v>
      </c>
      <c r="O43" s="179">
        <f t="shared" si="14"/>
        <v>0.33874554485449088</v>
      </c>
      <c r="P43" s="179">
        <f t="shared" si="14"/>
        <v>0.76888002258172383</v>
      </c>
      <c r="Q43" s="179">
        <f t="shared" si="14"/>
        <v>0.20013563431977896</v>
      </c>
      <c r="R43" s="179">
        <f>_xlfn.NORM.DIST(R9,R$29,R$30,TRUE)</f>
        <v>0.10428167237058236</v>
      </c>
      <c r="S43" s="179">
        <f t="shared" si="14"/>
        <v>0.37034545708051647</v>
      </c>
      <c r="T43" s="179">
        <f t="shared" si="14"/>
        <v>0.68653099479928936</v>
      </c>
      <c r="U43" s="179">
        <f t="shared" si="14"/>
        <v>0.25027857168592754</v>
      </c>
      <c r="V43" s="179">
        <f t="shared" si="14"/>
        <v>0.35493671433279345</v>
      </c>
      <c r="AH43" s="148">
        <v>2.8</v>
      </c>
      <c r="AI43" s="148"/>
      <c r="AJ43" s="148"/>
      <c r="AK43" s="148"/>
      <c r="AL43" s="172"/>
      <c r="AM43" s="148"/>
      <c r="AN43" s="148"/>
      <c r="AO43" s="172"/>
      <c r="AP43" s="148"/>
      <c r="AQ43" s="173"/>
      <c r="AR43" s="148"/>
      <c r="AV43" s="44"/>
      <c r="AW43" s="44"/>
      <c r="AX43" s="44"/>
      <c r="AY43" s="44"/>
      <c r="AZ43" s="44"/>
      <c r="BA43" s="44"/>
      <c r="BB43" s="44"/>
      <c r="BC43" s="44"/>
      <c r="BD43" s="44"/>
    </row>
    <row r="44" spans="1:56" s="40" customFormat="1" ht="19" customHeight="1">
      <c r="A44" s="148"/>
      <c r="B44" s="148"/>
      <c r="C44" s="167"/>
      <c r="D44" s="168"/>
      <c r="E44" s="169"/>
      <c r="F44" s="148"/>
      <c r="G44" s="148"/>
      <c r="K44" s="177" t="s">
        <v>611</v>
      </c>
      <c r="L44" s="180" t="s">
        <v>161</v>
      </c>
      <c r="M44" s="179">
        <f t="shared" ref="M44:V44" si="15">_xlfn.NORM.DIST(M10,M$29,M$30,TRUE)</f>
        <v>0.55223733338307757</v>
      </c>
      <c r="N44" s="179">
        <f t="shared" si="15"/>
        <v>0.8191476460674757</v>
      </c>
      <c r="O44" s="179">
        <f t="shared" si="15"/>
        <v>0.34427730515100163</v>
      </c>
      <c r="P44" s="179">
        <f t="shared" si="15"/>
        <v>0.48375383476607386</v>
      </c>
      <c r="Q44" s="179">
        <f t="shared" si="15"/>
        <v>0.56884944423776507</v>
      </c>
      <c r="R44" s="179">
        <f>_xlfn.NORM.DIST(R10,R$29,R$30,TRUE)</f>
        <v>0.25495495127936407</v>
      </c>
      <c r="S44" s="179">
        <f t="shared" si="15"/>
        <v>0.36498561506222604</v>
      </c>
      <c r="T44" s="179">
        <f t="shared" si="15"/>
        <v>0.26999290200934667</v>
      </c>
      <c r="U44" s="179">
        <f t="shared" si="15"/>
        <v>0.18770673748667355</v>
      </c>
      <c r="V44" s="179">
        <f t="shared" si="15"/>
        <v>0.99037522603198724</v>
      </c>
      <c r="AH44" s="148">
        <v>4.4000000000000004</v>
      </c>
      <c r="AI44" s="148"/>
      <c r="AJ44" s="148"/>
      <c r="AK44" s="148"/>
      <c r="AL44" s="172"/>
      <c r="AM44" s="148"/>
      <c r="AN44" s="148"/>
      <c r="AO44" s="172"/>
      <c r="AP44" s="148"/>
      <c r="AQ44" s="173"/>
      <c r="AR44" s="148"/>
      <c r="AV44" s="44"/>
      <c r="AW44" s="44"/>
      <c r="AX44" s="44"/>
      <c r="AY44" s="44"/>
      <c r="AZ44" s="44"/>
      <c r="BA44" s="44"/>
      <c r="BB44" s="44"/>
      <c r="BC44" s="44"/>
      <c r="BD44" s="44"/>
    </row>
    <row r="45" spans="1:56" s="40" customFormat="1" ht="19" customHeight="1">
      <c r="A45" s="148"/>
      <c r="B45" s="148"/>
      <c r="C45" s="167"/>
      <c r="D45" s="168"/>
      <c r="E45" s="169"/>
      <c r="F45" s="148"/>
      <c r="G45" s="148"/>
      <c r="K45" s="177" t="s">
        <v>611</v>
      </c>
      <c r="L45" s="180" t="s">
        <v>154</v>
      </c>
      <c r="M45" s="179">
        <f t="shared" ref="M45:V45" si="16">_xlfn.NORM.DIST(M11,M$29,M$30,TRUE)</f>
        <v>0.53642212437565262</v>
      </c>
      <c r="N45" s="179">
        <f t="shared" si="16"/>
        <v>0.81725771672355418</v>
      </c>
      <c r="O45" s="179">
        <f t="shared" si="16"/>
        <v>0.34833715704404999</v>
      </c>
      <c r="P45" s="179">
        <f t="shared" si="16"/>
        <v>0.3760033560874142</v>
      </c>
      <c r="Q45" s="179">
        <f t="shared" si="16"/>
        <v>0.36118022947201511</v>
      </c>
      <c r="R45" s="179">
        <f>_xlfn.NORM.DIST(R11,R$29,R$30,TRUE)</f>
        <v>0.40226975733440823</v>
      </c>
      <c r="S45" s="179">
        <f t="shared" si="16"/>
        <v>0.38947873643224101</v>
      </c>
      <c r="T45" s="179">
        <f t="shared" si="16"/>
        <v>0.84977734515928005</v>
      </c>
      <c r="U45" s="179">
        <f t="shared" si="16"/>
        <v>0.18770673748667355</v>
      </c>
      <c r="V45" s="179">
        <f t="shared" si="16"/>
        <v>0.99935260083009481</v>
      </c>
      <c r="AH45" s="148">
        <v>5.5</v>
      </c>
      <c r="AI45" s="148"/>
      <c r="AJ45" s="148"/>
      <c r="AK45" s="148"/>
      <c r="AL45" s="172"/>
      <c r="AM45" s="148"/>
      <c r="AN45" s="148"/>
      <c r="AO45" s="172"/>
      <c r="AP45" s="148"/>
      <c r="AQ45" s="173"/>
      <c r="AR45" s="148"/>
      <c r="AV45" s="44"/>
      <c r="AW45" s="44"/>
      <c r="AX45" s="44"/>
      <c r="AY45" s="44"/>
      <c r="AZ45" s="44"/>
      <c r="BA45" s="44"/>
      <c r="BB45" s="44"/>
      <c r="BC45" s="44"/>
      <c r="BD45" s="44"/>
    </row>
    <row r="46" spans="1:56" s="40" customFormat="1" ht="19" customHeight="1">
      <c r="A46" s="148"/>
      <c r="B46" s="148"/>
      <c r="C46" s="167"/>
      <c r="D46" s="168"/>
      <c r="E46" s="169"/>
      <c r="F46" s="148"/>
      <c r="G46" s="148"/>
      <c r="K46" s="177" t="s">
        <v>611</v>
      </c>
      <c r="L46" s="180" t="s">
        <v>177</v>
      </c>
      <c r="M46" s="179">
        <f t="shared" ref="M46:V46" si="17">_xlfn.NORM.DIST(M12,M$29,M$30,TRUE)</f>
        <v>0.52428772306948468</v>
      </c>
      <c r="N46" s="179">
        <f t="shared" si="17"/>
        <v>0.5904157136052508</v>
      </c>
      <c r="O46" s="179">
        <f t="shared" si="17"/>
        <v>0.41025372612615135</v>
      </c>
      <c r="P46" s="179">
        <f t="shared" si="17"/>
        <v>0.27558155853954547</v>
      </c>
      <c r="Q46" s="179">
        <f t="shared" si="17"/>
        <v>0.78004355199473152</v>
      </c>
      <c r="R46" s="179">
        <f>_xlfn.NORM.DIST(R12,R$29,R$30,TRUE)</f>
        <v>0.85584734151138386</v>
      </c>
      <c r="S46" s="179">
        <f t="shared" si="17"/>
        <v>0.37111132926267343</v>
      </c>
      <c r="T46" s="179">
        <f t="shared" si="17"/>
        <v>0.30750080282171721</v>
      </c>
      <c r="U46" s="179">
        <f t="shared" si="17"/>
        <v>0.25027857168592754</v>
      </c>
      <c r="V46" s="179">
        <f t="shared" si="17"/>
        <v>0.30055853698403295</v>
      </c>
      <c r="AH46" s="148">
        <v>9</v>
      </c>
      <c r="AI46" s="148"/>
      <c r="AJ46" s="148"/>
      <c r="AK46" s="148"/>
      <c r="AL46" s="172"/>
      <c r="AM46" s="148"/>
      <c r="AN46" s="148"/>
      <c r="AO46" s="172"/>
      <c r="AP46" s="148"/>
      <c r="AQ46" s="173"/>
      <c r="AR46" s="148"/>
      <c r="AV46" s="44"/>
      <c r="AW46" s="44"/>
      <c r="AX46" s="44"/>
      <c r="AY46" s="44"/>
      <c r="AZ46" s="44"/>
      <c r="BA46" s="44"/>
      <c r="BB46" s="44"/>
      <c r="BC46" s="44"/>
      <c r="BD46" s="44"/>
    </row>
    <row r="47" spans="1:56" s="40" customFormat="1" ht="19" customHeight="1">
      <c r="A47" s="148"/>
      <c r="B47" s="148"/>
      <c r="C47" s="167"/>
      <c r="D47" s="168"/>
      <c r="E47" s="169"/>
      <c r="F47" s="148"/>
      <c r="G47" s="148"/>
      <c r="K47" s="177" t="s">
        <v>611</v>
      </c>
      <c r="L47" s="180" t="s">
        <v>142</v>
      </c>
      <c r="M47" s="179">
        <f t="shared" ref="M47:V47" si="18">_xlfn.NORM.DIST(M13,M$29,M$30,TRUE)</f>
        <v>0.20988414906966443</v>
      </c>
      <c r="N47" s="179">
        <f t="shared" si="18"/>
        <v>0.79546913795244611</v>
      </c>
      <c r="O47" s="179">
        <f t="shared" si="18"/>
        <v>0.36559305137048359</v>
      </c>
      <c r="P47" s="179">
        <f t="shared" si="18"/>
        <v>0.43036255414887492</v>
      </c>
      <c r="Q47" s="179">
        <f t="shared" si="18"/>
        <v>0.16510312798982274</v>
      </c>
      <c r="R47" s="179">
        <f>_xlfn.NORM.DIST(R13,R$29,R$30,TRUE)</f>
        <v>0.15970742621902018</v>
      </c>
      <c r="S47" s="179">
        <f t="shared" si="18"/>
        <v>0.37020673224322487</v>
      </c>
      <c r="T47" s="179">
        <f t="shared" si="18"/>
        <v>0.68653099479928936</v>
      </c>
      <c r="U47" s="179">
        <f t="shared" si="18"/>
        <v>0.25027857168592754</v>
      </c>
      <c r="V47" s="179">
        <f t="shared" si="18"/>
        <v>0.35978484020644863</v>
      </c>
      <c r="AH47" s="148">
        <v>3.5</v>
      </c>
      <c r="AI47" s="148"/>
      <c r="AJ47" s="148"/>
      <c r="AK47" s="148"/>
      <c r="AL47" s="172"/>
      <c r="AM47" s="148"/>
      <c r="AN47" s="148"/>
      <c r="AO47" s="172"/>
      <c r="AP47" s="148"/>
      <c r="AQ47" s="173"/>
      <c r="AR47" s="148"/>
      <c r="AV47" s="44"/>
      <c r="AW47" s="44"/>
      <c r="AX47" s="44"/>
      <c r="AY47" s="44"/>
      <c r="AZ47" s="44"/>
      <c r="BA47" s="44"/>
      <c r="BB47" s="44"/>
      <c r="BC47" s="44"/>
      <c r="BD47" s="44"/>
    </row>
    <row r="48" spans="1:56" s="40" customFormat="1" ht="19" customHeight="1">
      <c r="A48" s="148"/>
      <c r="B48" s="148"/>
      <c r="C48" s="167"/>
      <c r="D48" s="168"/>
      <c r="E48" s="169"/>
      <c r="F48" s="148"/>
      <c r="G48" s="148"/>
      <c r="K48" s="177" t="s">
        <v>611</v>
      </c>
      <c r="L48" s="180" t="s">
        <v>136</v>
      </c>
      <c r="M48" s="179">
        <f t="shared" ref="M48:V48" si="19">_xlfn.NORM.DIST(M14,M$29,M$30,TRUE)</f>
        <v>0.13262742699734989</v>
      </c>
      <c r="N48" s="179">
        <f t="shared" si="19"/>
        <v>0.89594508008467322</v>
      </c>
      <c r="O48" s="179">
        <f t="shared" si="19"/>
        <v>0.34648481013052468</v>
      </c>
      <c r="P48" s="179">
        <f t="shared" si="19"/>
        <v>0.16828105280607364</v>
      </c>
      <c r="Q48" s="179">
        <f t="shared" si="19"/>
        <v>0.34592061202584667</v>
      </c>
      <c r="R48" s="179">
        <f>_xlfn.NORM.DIST(R14,R$29,R$30,TRUE)</f>
        <v>0.18850108246518354</v>
      </c>
      <c r="S48" s="179">
        <f t="shared" si="19"/>
        <v>0.35410203232858295</v>
      </c>
      <c r="T48" s="179">
        <f t="shared" si="19"/>
        <v>0.7765997900936783</v>
      </c>
      <c r="U48" s="179">
        <f t="shared" si="19"/>
        <v>0.18770673748667355</v>
      </c>
      <c r="V48" s="179">
        <f t="shared" si="19"/>
        <v>0.38651520833478725</v>
      </c>
      <c r="AH48" s="148">
        <v>3.8</v>
      </c>
      <c r="AI48" s="148"/>
      <c r="AJ48" s="148"/>
      <c r="AK48" s="148"/>
      <c r="AL48" s="172"/>
      <c r="AM48" s="148"/>
      <c r="AN48" s="148"/>
      <c r="AO48" s="172"/>
      <c r="AP48" s="148"/>
      <c r="AQ48" s="173"/>
      <c r="AR48" s="148"/>
      <c r="AV48" s="44"/>
      <c r="AW48" s="44"/>
      <c r="AX48" s="44"/>
      <c r="AY48" s="44"/>
      <c r="AZ48" s="44"/>
      <c r="BA48" s="44"/>
      <c r="BB48" s="44"/>
      <c r="BC48" s="44"/>
      <c r="BD48" s="44"/>
    </row>
    <row r="49" spans="1:56" s="40" customFormat="1" ht="19" customHeight="1">
      <c r="A49" s="148"/>
      <c r="B49" s="148"/>
      <c r="C49" s="167"/>
      <c r="D49" s="168"/>
      <c r="E49" s="169"/>
      <c r="F49" s="148"/>
      <c r="G49" s="148"/>
      <c r="K49" s="177" t="s">
        <v>611</v>
      </c>
      <c r="L49" s="180" t="s">
        <v>168</v>
      </c>
      <c r="M49" s="179">
        <f t="shared" ref="M49:V49" si="20">_xlfn.NORM.DIST(M15,M$29,M$30,TRUE)</f>
        <v>0.44343001533786452</v>
      </c>
      <c r="N49" s="179">
        <f t="shared" si="20"/>
        <v>0.24049567994334942</v>
      </c>
      <c r="O49" s="179">
        <f t="shared" si="20"/>
        <v>0.41429022453340925</v>
      </c>
      <c r="P49" s="179">
        <f t="shared" si="20"/>
        <v>0.69528075807853451</v>
      </c>
      <c r="Q49" s="179">
        <f t="shared" si="20"/>
        <v>0.69154697748562688</v>
      </c>
      <c r="R49" s="179">
        <f>_xlfn.NORM.DIST(R15,R$29,R$30,TRUE)</f>
        <v>0.55037777758208473</v>
      </c>
      <c r="S49" s="179">
        <f t="shared" si="20"/>
        <v>0.37374434703180226</v>
      </c>
      <c r="T49" s="179">
        <f t="shared" si="20"/>
        <v>0.30750080282171721</v>
      </c>
      <c r="U49" s="179">
        <f t="shared" si="20"/>
        <v>0.25027857168592754</v>
      </c>
      <c r="V49" s="179">
        <f t="shared" si="20"/>
        <v>0.29897301351359695</v>
      </c>
      <c r="AH49" s="148">
        <v>6.5</v>
      </c>
      <c r="AI49" s="148"/>
      <c r="AJ49" s="148"/>
      <c r="AK49" s="148"/>
      <c r="AL49" s="172"/>
      <c r="AM49" s="148"/>
      <c r="AN49" s="148"/>
      <c r="AO49" s="172"/>
      <c r="AP49" s="148"/>
      <c r="AQ49" s="173"/>
      <c r="AR49" s="148"/>
      <c r="AV49" s="44"/>
      <c r="AW49" s="44"/>
      <c r="AX49" s="44"/>
      <c r="AY49" s="44"/>
      <c r="AZ49" s="44"/>
      <c r="BA49" s="44"/>
      <c r="BB49" s="44"/>
      <c r="BC49" s="44"/>
      <c r="BD49" s="44"/>
    </row>
    <row r="50" spans="1:56" s="40" customFormat="1" ht="19" customHeight="1">
      <c r="A50" s="148"/>
      <c r="B50" s="148"/>
      <c r="C50" s="167"/>
      <c r="D50" s="168"/>
      <c r="E50" s="169"/>
      <c r="F50" s="148"/>
      <c r="G50" s="148"/>
      <c r="K50" s="177" t="s">
        <v>611</v>
      </c>
      <c r="L50" s="180" t="s">
        <v>184</v>
      </c>
      <c r="M50" s="179">
        <f t="shared" ref="M50:V50" si="21">_xlfn.NORM.DIST(M16,M$29,M$30,TRUE)</f>
        <v>0.78710832089777194</v>
      </c>
      <c r="N50" s="179">
        <f t="shared" si="21"/>
        <v>0.82838463663714279</v>
      </c>
      <c r="O50" s="179">
        <f t="shared" si="21"/>
        <v>0.38885122158652835</v>
      </c>
      <c r="P50" s="179">
        <f t="shared" si="21"/>
        <v>0.63278582743389844</v>
      </c>
      <c r="Q50" s="179">
        <f t="shared" si="21"/>
        <v>0.86298735549744388</v>
      </c>
      <c r="R50" s="179">
        <f>_xlfn.NORM.DIST(R16,R$29,R$30,TRUE)</f>
        <v>0.65116974957148832</v>
      </c>
      <c r="S50" s="179">
        <f t="shared" si="21"/>
        <v>0.38361163108088642</v>
      </c>
      <c r="T50" s="179">
        <f t="shared" si="21"/>
        <v>0.30750080282171721</v>
      </c>
      <c r="U50" s="179">
        <f t="shared" si="21"/>
        <v>0.25027857168592754</v>
      </c>
      <c r="V50" s="179">
        <f t="shared" si="21"/>
        <v>0.44920695542891054</v>
      </c>
      <c r="AH50" s="148">
        <v>7.2</v>
      </c>
      <c r="AI50" s="148"/>
      <c r="AJ50" s="148"/>
      <c r="AK50" s="148"/>
      <c r="AL50" s="172"/>
      <c r="AM50" s="148"/>
      <c r="AN50" s="148"/>
      <c r="AO50" s="172"/>
      <c r="AP50" s="148"/>
      <c r="AQ50" s="173"/>
      <c r="AR50" s="148"/>
      <c r="AV50" s="44"/>
      <c r="AW50" s="44"/>
      <c r="AX50" s="44"/>
      <c r="AY50" s="44"/>
      <c r="AZ50" s="44"/>
      <c r="BA50" s="44"/>
      <c r="BB50" s="44"/>
      <c r="BC50" s="44"/>
      <c r="BD50" s="44"/>
    </row>
    <row r="51" spans="1:56" s="40" customFormat="1" ht="19" customHeight="1">
      <c r="A51" s="148"/>
      <c r="B51" s="148"/>
      <c r="C51" s="167"/>
      <c r="D51" s="168"/>
      <c r="E51" s="169"/>
      <c r="F51" s="148"/>
      <c r="G51" s="148"/>
      <c r="K51" s="177" t="s">
        <v>611</v>
      </c>
      <c r="L51" s="180" t="s">
        <v>171</v>
      </c>
      <c r="M51" s="179">
        <f t="shared" ref="M51:V51" si="22">_xlfn.NORM.DIST(M17,M$29,M$30,TRUE)</f>
        <v>0.87257091135875409</v>
      </c>
      <c r="N51" s="179">
        <f t="shared" si="22"/>
        <v>8.2205479663129924E-2</v>
      </c>
      <c r="O51" s="179">
        <f t="shared" si="22"/>
        <v>0.34612656708963413</v>
      </c>
      <c r="P51" s="179">
        <f t="shared" si="22"/>
        <v>0.65715306514301752</v>
      </c>
      <c r="Q51" s="179">
        <f t="shared" si="22"/>
        <v>0.61937017405120764</v>
      </c>
      <c r="R51" s="179">
        <f>_xlfn.NORM.DIST(R17,R$29,R$30,TRUE)</f>
        <v>0.8091587608253521</v>
      </c>
      <c r="S51" s="179">
        <f t="shared" si="22"/>
        <v>0.35814801055786238</v>
      </c>
      <c r="T51" s="179">
        <f t="shared" si="22"/>
        <v>0.32707547202102494</v>
      </c>
      <c r="U51" s="179">
        <f t="shared" si="22"/>
        <v>0.25027857168592754</v>
      </c>
      <c r="V51" s="179">
        <f t="shared" si="22"/>
        <v>0.25668984951896939</v>
      </c>
      <c r="AH51" s="148">
        <v>8.5</v>
      </c>
      <c r="AI51" s="148"/>
      <c r="AJ51" s="148"/>
      <c r="AK51" s="148"/>
      <c r="AL51" s="172"/>
      <c r="AM51" s="148"/>
      <c r="AN51" s="148"/>
      <c r="AO51" s="172"/>
      <c r="AP51" s="148"/>
      <c r="AQ51" s="173"/>
      <c r="AR51" s="148"/>
      <c r="AV51" s="44"/>
      <c r="AW51" s="44"/>
      <c r="AX51" s="44"/>
      <c r="AY51" s="44"/>
      <c r="AZ51" s="44"/>
      <c r="BA51" s="44"/>
      <c r="BB51" s="44"/>
      <c r="BC51" s="44"/>
      <c r="BD51" s="44"/>
    </row>
    <row r="52" spans="1:56" s="40" customFormat="1" ht="19" customHeight="1">
      <c r="A52" s="148"/>
      <c r="B52" s="148"/>
      <c r="C52" s="167"/>
      <c r="D52" s="168"/>
      <c r="E52" s="169"/>
      <c r="F52" s="148"/>
      <c r="G52" s="148"/>
      <c r="K52" s="177" t="s">
        <v>611</v>
      </c>
      <c r="L52" s="180" t="s">
        <v>89</v>
      </c>
      <c r="M52" s="179">
        <f t="shared" ref="M52:V52" si="23">_xlfn.NORM.DIST(M18,M$29,M$30,TRUE)</f>
        <v>0.49423737487965397</v>
      </c>
      <c r="N52" s="179">
        <f t="shared" si="23"/>
        <v>0.10484606195006746</v>
      </c>
      <c r="O52" s="179">
        <f t="shared" si="23"/>
        <v>0.33856503952856454</v>
      </c>
      <c r="P52" s="179">
        <f t="shared" si="23"/>
        <v>0.99752161346655788</v>
      </c>
      <c r="Q52" s="179">
        <f t="shared" si="23"/>
        <v>9.0672795395966455E-2</v>
      </c>
      <c r="R52" s="179">
        <f>_xlfn.NORM.DIST(R18,R$29,R$30,TRUE)</f>
        <v>6.9172666106451605E-2</v>
      </c>
      <c r="S52" s="179">
        <f t="shared" si="23"/>
        <v>0.36782217362448155</v>
      </c>
      <c r="T52" s="179">
        <f t="shared" si="23"/>
        <v>0.58368208003951216</v>
      </c>
      <c r="U52" s="179">
        <f t="shared" si="23"/>
        <v>0.25027857168592754</v>
      </c>
      <c r="V52" s="179">
        <f t="shared" si="23"/>
        <v>0.29871975517284882</v>
      </c>
      <c r="AH52" s="148">
        <v>2.2000000000000002</v>
      </c>
      <c r="AI52" s="148"/>
      <c r="AJ52" s="148"/>
      <c r="AK52" s="148"/>
      <c r="AL52" s="172"/>
      <c r="AM52" s="148"/>
      <c r="AN52" s="148"/>
      <c r="AO52" s="172"/>
      <c r="AP52" s="148"/>
      <c r="AQ52" s="173"/>
      <c r="AR52" s="148"/>
      <c r="AV52" s="44"/>
      <c r="AW52" s="44"/>
      <c r="AX52" s="44"/>
      <c r="AY52" s="44"/>
      <c r="AZ52" s="44"/>
      <c r="BA52" s="44"/>
      <c r="BB52" s="44"/>
      <c r="BC52" s="44"/>
      <c r="BD52" s="44"/>
    </row>
    <row r="53" spans="1:56" s="40" customFormat="1" ht="19" customHeight="1">
      <c r="A53" s="148"/>
      <c r="B53" s="148"/>
      <c r="C53" s="167"/>
      <c r="D53" s="168"/>
      <c r="E53" s="169"/>
      <c r="F53" s="148"/>
      <c r="G53" s="148"/>
      <c r="K53" s="177" t="s">
        <v>611</v>
      </c>
      <c r="L53" s="180" t="s">
        <v>159</v>
      </c>
      <c r="M53" s="179">
        <f t="shared" ref="M53:V53" si="24">_xlfn.NORM.DIST(M19,M$29,M$30,TRUE)</f>
        <v>0.26235703848775793</v>
      </c>
      <c r="N53" s="179">
        <f t="shared" si="24"/>
        <v>0.84613677811351518</v>
      </c>
      <c r="O53" s="179">
        <f t="shared" si="24"/>
        <v>0.41402202361387502</v>
      </c>
      <c r="P53" s="179">
        <f t="shared" si="24"/>
        <v>0.88980671645519516</v>
      </c>
      <c r="Q53" s="179">
        <f t="shared" si="24"/>
        <v>0.20754377568418036</v>
      </c>
      <c r="R53" s="179">
        <f>_xlfn.NORM.DIST(R19,R$29,R$30,TRUE)</f>
        <v>0.26711273442056771</v>
      </c>
      <c r="S53" s="179">
        <f t="shared" si="24"/>
        <v>0.41685614343095573</v>
      </c>
      <c r="T53" s="179">
        <f t="shared" si="24"/>
        <v>0.26999290200934667</v>
      </c>
      <c r="U53" s="179">
        <f t="shared" si="24"/>
        <v>0.25027857168592754</v>
      </c>
      <c r="V53" s="179">
        <f t="shared" si="24"/>
        <v>0.41576749767595672</v>
      </c>
      <c r="AH53" s="148">
        <v>4.5</v>
      </c>
      <c r="AI53" s="148"/>
      <c r="AJ53" s="148"/>
      <c r="AK53" s="148"/>
      <c r="AL53" s="172"/>
      <c r="AM53" s="148"/>
      <c r="AN53" s="148"/>
      <c r="AO53" s="172"/>
      <c r="AP53" s="148"/>
      <c r="AQ53" s="173"/>
      <c r="AR53" s="148"/>
      <c r="AV53" s="44"/>
      <c r="AW53" s="44"/>
      <c r="AX53" s="44"/>
      <c r="AY53" s="44"/>
      <c r="AZ53" s="44"/>
      <c r="BA53" s="44"/>
      <c r="BB53" s="44"/>
      <c r="BC53" s="44"/>
      <c r="BD53" s="44"/>
    </row>
    <row r="54" spans="1:56" s="40" customFormat="1" ht="19" customHeight="1">
      <c r="A54" s="148"/>
      <c r="B54" s="148"/>
      <c r="C54" s="167"/>
      <c r="D54" s="168"/>
      <c r="E54" s="169"/>
      <c r="F54" s="148"/>
      <c r="G54" s="148"/>
      <c r="K54" s="177" t="s">
        <v>611</v>
      </c>
      <c r="L54" s="180" t="s">
        <v>176</v>
      </c>
      <c r="M54" s="179">
        <f t="shared" ref="M54:V54" si="25">_xlfn.NORM.DIST(M20,M$29,M$30,TRUE)</f>
        <v>0.5164230187536698</v>
      </c>
      <c r="N54" s="179">
        <f t="shared" si="25"/>
        <v>0.29247389099148668</v>
      </c>
      <c r="O54" s="179">
        <f t="shared" si="25"/>
        <v>0.33774456193414754</v>
      </c>
      <c r="P54" s="179">
        <f t="shared" si="25"/>
        <v>8.9171251908062008E-2</v>
      </c>
      <c r="Q54" s="179">
        <f t="shared" si="25"/>
        <v>0.79218182226911615</v>
      </c>
      <c r="R54" s="179">
        <f>_xlfn.NORM.DIST(R20,R$29,R$30,TRUE)</f>
        <v>0.75419624711232514</v>
      </c>
      <c r="S54" s="179">
        <f t="shared" si="25"/>
        <v>0.35068769017754331</v>
      </c>
      <c r="T54" s="179">
        <f t="shared" si="25"/>
        <v>0.28845951832307842</v>
      </c>
      <c r="U54" s="179">
        <f t="shared" si="25"/>
        <v>0.25027857168592754</v>
      </c>
      <c r="V54" s="179">
        <f t="shared" si="25"/>
        <v>0.25469926445242108</v>
      </c>
      <c r="AH54" s="148">
        <v>8</v>
      </c>
      <c r="AI54" s="148"/>
      <c r="AJ54" s="148"/>
      <c r="AK54" s="148"/>
      <c r="AL54" s="172"/>
      <c r="AM54" s="148"/>
      <c r="AN54" s="148"/>
      <c r="AO54" s="172"/>
      <c r="AP54" s="148"/>
      <c r="AQ54" s="173"/>
      <c r="AR54" s="148"/>
      <c r="AV54" s="44"/>
      <c r="AW54" s="44"/>
      <c r="AX54" s="44"/>
      <c r="AY54" s="44"/>
      <c r="AZ54" s="44"/>
      <c r="BA54" s="44"/>
      <c r="BB54" s="44"/>
      <c r="BC54" s="44"/>
      <c r="BD54" s="44"/>
    </row>
    <row r="55" spans="1:56" s="40" customFormat="1" ht="19" customHeight="1">
      <c r="A55" s="148"/>
      <c r="B55" s="148"/>
      <c r="C55" s="167"/>
      <c r="D55" s="168"/>
      <c r="E55" s="169"/>
      <c r="F55" s="148"/>
      <c r="G55" s="148"/>
      <c r="K55" s="177" t="s">
        <v>611</v>
      </c>
      <c r="L55" s="180" t="s">
        <v>119</v>
      </c>
      <c r="M55" s="179">
        <f t="shared" ref="M55:V55" si="26">_xlfn.NORM.DIST(M21,M$29,M$30,TRUE)</f>
        <v>0.18255954648219472</v>
      </c>
      <c r="N55" s="179">
        <f t="shared" si="26"/>
        <v>0.3859907897848483</v>
      </c>
      <c r="O55" s="179">
        <f t="shared" si="26"/>
        <v>0.34433419009287591</v>
      </c>
      <c r="P55" s="179">
        <f t="shared" si="26"/>
        <v>0.56454110766180321</v>
      </c>
      <c r="Q55" s="179">
        <f t="shared" si="26"/>
        <v>9.9617206173364628E-2</v>
      </c>
      <c r="R55" s="179">
        <f>_xlfn.NORM.DIST(R21,R$29,R$30,TRUE)</f>
        <v>0.10428167237058236</v>
      </c>
      <c r="S55" s="179">
        <f t="shared" si="26"/>
        <v>0.35247132198659403</v>
      </c>
      <c r="T55" s="179">
        <f t="shared" si="26"/>
        <v>0.47472532019653441</v>
      </c>
      <c r="U55" s="179">
        <f t="shared" si="26"/>
        <v>0.25027857168592754</v>
      </c>
      <c r="V55" s="179">
        <f t="shared" si="26"/>
        <v>0.43380110673007871</v>
      </c>
      <c r="AH55" s="148">
        <v>2.8</v>
      </c>
      <c r="AI55" s="148"/>
      <c r="AJ55" s="148"/>
      <c r="AK55" s="148"/>
      <c r="AL55" s="172"/>
      <c r="AM55" s="148"/>
      <c r="AN55" s="148"/>
      <c r="AO55" s="172"/>
      <c r="AP55" s="148"/>
      <c r="AQ55" s="173"/>
      <c r="AR55" s="148"/>
      <c r="AV55" s="44"/>
      <c r="AW55" s="44"/>
      <c r="AX55" s="44"/>
      <c r="AY55" s="44"/>
      <c r="AZ55" s="44"/>
      <c r="BA55" s="44"/>
      <c r="BB55" s="44"/>
      <c r="BC55" s="44"/>
      <c r="BD55" s="44"/>
    </row>
    <row r="56" spans="1:56" s="40" customFormat="1" ht="19" customHeight="1">
      <c r="A56" s="148"/>
      <c r="B56" s="148"/>
      <c r="C56" s="167"/>
      <c r="D56" s="168"/>
      <c r="E56" s="169"/>
      <c r="F56" s="148"/>
      <c r="G56" s="148"/>
      <c r="K56" s="177" t="s">
        <v>611</v>
      </c>
      <c r="L56" s="180" t="s">
        <v>183</v>
      </c>
      <c r="M56" s="179">
        <f t="shared" ref="M56:V56" si="27">_xlfn.NORM.DIST(M22,M$29,M$30,TRUE)</f>
        <v>0.9195134925841848</v>
      </c>
      <c r="N56" s="179">
        <f t="shared" si="27"/>
        <v>0.80309591784357592</v>
      </c>
      <c r="O56" s="179">
        <f t="shared" si="27"/>
        <v>0.36407667890190742</v>
      </c>
      <c r="P56" s="179">
        <f t="shared" si="27"/>
        <v>0.64060253071102646</v>
      </c>
      <c r="Q56" s="179">
        <f t="shared" si="27"/>
        <v>0.81184581801472999</v>
      </c>
      <c r="R56" s="179">
        <f>_xlfn.NORM.DIST(R22,R$29,R$30,TRUE)</f>
        <v>0.55037777758208473</v>
      </c>
      <c r="S56" s="179">
        <f t="shared" si="27"/>
        <v>0.36479612413154461</v>
      </c>
      <c r="T56" s="179">
        <f t="shared" si="27"/>
        <v>0.28845951832307842</v>
      </c>
      <c r="U56" s="179">
        <f t="shared" si="27"/>
        <v>0.25027857168592754</v>
      </c>
      <c r="V56" s="179">
        <f t="shared" si="27"/>
        <v>0.39104040587394451</v>
      </c>
      <c r="AH56" s="148">
        <v>6.5</v>
      </c>
      <c r="AI56" s="148"/>
      <c r="AJ56" s="148"/>
      <c r="AK56" s="148"/>
      <c r="AL56" s="172"/>
      <c r="AM56" s="148"/>
      <c r="AN56" s="148"/>
      <c r="AO56" s="172"/>
      <c r="AP56" s="148"/>
      <c r="AQ56" s="173"/>
      <c r="AR56" s="148"/>
      <c r="AV56" s="44"/>
      <c r="AW56" s="44"/>
      <c r="AX56" s="44"/>
      <c r="AY56" s="44"/>
      <c r="AZ56" s="44"/>
      <c r="BA56" s="44"/>
      <c r="BB56" s="44"/>
      <c r="BC56" s="44"/>
      <c r="BD56" s="44"/>
    </row>
    <row r="57" spans="1:56" s="40" customFormat="1" ht="19" customHeight="1">
      <c r="A57" s="148"/>
      <c r="B57" s="148"/>
      <c r="C57" s="167"/>
      <c r="D57" s="168"/>
      <c r="E57" s="169"/>
      <c r="F57" s="148"/>
      <c r="G57" s="148"/>
      <c r="K57" s="177" t="s">
        <v>610</v>
      </c>
      <c r="L57" s="178" t="s">
        <v>165</v>
      </c>
      <c r="M57" s="179">
        <f t="shared" ref="M57:V57" si="28">_xlfn.NORM.DIST(M23,M$29,M$30,TRUE)</f>
        <v>0.69000435665384818</v>
      </c>
      <c r="N57" s="179">
        <f t="shared" si="28"/>
        <v>0.70529329304568544</v>
      </c>
      <c r="O57" s="179">
        <f t="shared" si="28"/>
        <v>0.47924060098167176</v>
      </c>
      <c r="P57" s="179">
        <f t="shared" si="28"/>
        <v>0.50252920252406619</v>
      </c>
      <c r="Q57" s="179">
        <f t="shared" si="28"/>
        <v>0.76389628241658325</v>
      </c>
      <c r="R57" s="179">
        <f>_xlfn.NORM.DIST(R23,R$29,R$30,TRUE)</f>
        <v>0.69171173816824461</v>
      </c>
      <c r="S57" s="179">
        <f t="shared" si="28"/>
        <v>0.36639652838404346</v>
      </c>
      <c r="T57" s="179">
        <f t="shared" si="28"/>
        <v>0.32707547202102494</v>
      </c>
      <c r="U57" s="179">
        <f t="shared" si="28"/>
        <v>0.91021146539869535</v>
      </c>
      <c r="V57" s="179">
        <f t="shared" si="28"/>
        <v>0.27758318135428833</v>
      </c>
      <c r="AH57" s="148">
        <v>7.5</v>
      </c>
      <c r="AI57" s="148"/>
      <c r="AJ57" s="148"/>
      <c r="AK57" s="148"/>
      <c r="AL57" s="172"/>
      <c r="AM57" s="148"/>
      <c r="AN57" s="148"/>
      <c r="AO57" s="172"/>
      <c r="AP57" s="148"/>
      <c r="AQ57" s="173"/>
      <c r="AR57" s="148"/>
      <c r="AV57" s="44"/>
      <c r="AW57" s="44"/>
      <c r="AX57" s="44"/>
      <c r="AY57" s="44"/>
      <c r="AZ57" s="44"/>
      <c r="BA57" s="44"/>
      <c r="BB57" s="44"/>
      <c r="BC57" s="44"/>
      <c r="BD57" s="44"/>
    </row>
    <row r="58" spans="1:56" s="40" customFormat="1" ht="19" customHeight="1">
      <c r="A58" s="148"/>
      <c r="B58" s="148"/>
      <c r="C58" s="167"/>
      <c r="D58" s="168"/>
      <c r="E58" s="169"/>
      <c r="F58" s="148"/>
      <c r="G58" s="148"/>
      <c r="K58" s="177" t="s">
        <v>610</v>
      </c>
      <c r="L58" s="178" t="s">
        <v>120</v>
      </c>
      <c r="M58" s="179">
        <f t="shared" ref="M58:V58" si="29">_xlfn.NORM.DIST(M24,M$29,M$30,TRUE)</f>
        <v>7.9733291582292184E-2</v>
      </c>
      <c r="N58" s="179">
        <f t="shared" si="29"/>
        <v>6.5278592281044392E-2</v>
      </c>
      <c r="O58" s="179">
        <f t="shared" si="29"/>
        <v>0.33451066399124096</v>
      </c>
      <c r="P58" s="179">
        <f t="shared" si="29"/>
        <v>0.5423330088542776</v>
      </c>
      <c r="Q58" s="179">
        <f t="shared" si="29"/>
        <v>0.13886032047526572</v>
      </c>
      <c r="R58" s="179">
        <f>_xlfn.NORM.DIST(R24,R$29,R$30,TRUE)</f>
        <v>0.97709161230548192</v>
      </c>
      <c r="S58" s="179">
        <f t="shared" si="29"/>
        <v>0.96068945028434161</v>
      </c>
      <c r="T58" s="179">
        <f t="shared" si="29"/>
        <v>0.40973449547155111</v>
      </c>
      <c r="U58" s="179">
        <f t="shared" si="29"/>
        <v>0.91021146539869535</v>
      </c>
      <c r="V58" s="179">
        <f t="shared" si="29"/>
        <v>0.29959349415832115</v>
      </c>
      <c r="AH58" s="148">
        <v>11.5</v>
      </c>
      <c r="AI58" s="148"/>
      <c r="AJ58" s="148"/>
      <c r="AK58" s="148"/>
      <c r="AL58" s="172"/>
      <c r="AM58" s="148"/>
      <c r="AN58" s="148"/>
      <c r="AO58" s="172"/>
      <c r="AP58" s="148"/>
      <c r="AQ58" s="173"/>
      <c r="AR58" s="148"/>
      <c r="AV58" s="44"/>
      <c r="AW58" s="44"/>
      <c r="AX58" s="44"/>
      <c r="AY58" s="44"/>
      <c r="AZ58" s="44"/>
      <c r="BA58" s="44"/>
      <c r="BB58" s="44"/>
      <c r="BC58" s="44"/>
      <c r="BD58" s="44"/>
    </row>
    <row r="59" spans="1:56" s="40" customFormat="1" ht="19" customHeight="1">
      <c r="A59" s="148"/>
      <c r="B59" s="148"/>
      <c r="C59" s="167"/>
      <c r="D59" s="176"/>
      <c r="E59" s="148"/>
      <c r="F59" s="148"/>
      <c r="G59" s="148"/>
      <c r="K59" s="177" t="s">
        <v>610</v>
      </c>
      <c r="L59" s="178" t="s">
        <v>155</v>
      </c>
      <c r="M59" s="179">
        <f t="shared" ref="M59:V59" si="30">_xlfn.NORM.DIST(M25,M$29,M$30,TRUE)</f>
        <v>0.18744418264782853</v>
      </c>
      <c r="N59" s="179">
        <f t="shared" si="30"/>
        <v>0.42223462867052736</v>
      </c>
      <c r="O59" s="179">
        <f t="shared" si="30"/>
        <v>0.37443385632658788</v>
      </c>
      <c r="P59" s="179">
        <f t="shared" si="30"/>
        <v>0.3173008363212142</v>
      </c>
      <c r="Q59" s="179">
        <f t="shared" si="30"/>
        <v>0.21012054923713741</v>
      </c>
      <c r="R59" s="179">
        <f>_xlfn.NORM.DIST(R25,R$29,R$30,TRUE)</f>
        <v>0.55037777758208473</v>
      </c>
      <c r="S59" s="179">
        <f t="shared" si="30"/>
        <v>0.48922953592128288</v>
      </c>
      <c r="T59" s="179">
        <f t="shared" si="30"/>
        <v>0.32707547202102494</v>
      </c>
      <c r="U59" s="179">
        <f t="shared" si="30"/>
        <v>0.91021146539869535</v>
      </c>
      <c r="V59" s="179">
        <f t="shared" si="30"/>
        <v>0.615075822232375</v>
      </c>
      <c r="AH59" s="148">
        <v>6.5</v>
      </c>
      <c r="AI59" s="148"/>
      <c r="AJ59" s="148"/>
      <c r="AK59" s="148"/>
      <c r="AL59" s="172"/>
      <c r="AM59" s="148"/>
      <c r="AN59" s="148"/>
      <c r="AO59" s="172"/>
      <c r="AP59" s="148"/>
      <c r="AQ59" s="173"/>
      <c r="AR59" s="148"/>
      <c r="AV59" s="44"/>
      <c r="AW59" s="44"/>
      <c r="AX59" s="44"/>
      <c r="AY59" s="44"/>
      <c r="AZ59" s="44"/>
      <c r="BA59" s="44"/>
      <c r="BB59" s="44"/>
      <c r="BC59" s="44"/>
      <c r="BD59" s="44"/>
    </row>
    <row r="60" spans="1:56" s="40" customFormat="1" ht="19" customHeight="1">
      <c r="A60" s="148"/>
      <c r="B60" s="148"/>
      <c r="C60" s="167"/>
      <c r="D60" s="176"/>
      <c r="E60" s="148"/>
      <c r="F60" s="148"/>
      <c r="G60" s="148"/>
      <c r="K60" s="177" t="s">
        <v>610</v>
      </c>
      <c r="L60" s="178" t="s">
        <v>139</v>
      </c>
      <c r="M60" s="179">
        <f t="shared" ref="M60:V60" si="31">_xlfn.NORM.DIST(M26,M$29,M$30,TRUE)</f>
        <v>0.17099309062914267</v>
      </c>
      <c r="N60" s="179">
        <f t="shared" si="31"/>
        <v>0.14348054202399171</v>
      </c>
      <c r="O60" s="179">
        <f t="shared" si="31"/>
        <v>0.49999989223604202</v>
      </c>
      <c r="P60" s="179">
        <f t="shared" si="31"/>
        <v>9.9706297539276303E-2</v>
      </c>
      <c r="Q60" s="179">
        <f t="shared" si="31"/>
        <v>0.18971437699061383</v>
      </c>
      <c r="R60" s="179">
        <f>_xlfn.NORM.DIST(R26,R$29,R$30,TRUE)</f>
        <v>0.18850108246518354</v>
      </c>
      <c r="S60" s="179">
        <f t="shared" si="31"/>
        <v>0.43329672449274548</v>
      </c>
      <c r="T60" s="179">
        <f t="shared" si="31"/>
        <v>0.28845951832307842</v>
      </c>
      <c r="U60" s="179">
        <f t="shared" si="31"/>
        <v>0.91021146539869535</v>
      </c>
      <c r="V60" s="179">
        <f t="shared" si="31"/>
        <v>0.30138207467177408</v>
      </c>
      <c r="AH60" s="148">
        <v>3.8</v>
      </c>
      <c r="AI60" s="148"/>
      <c r="AJ60" s="148"/>
      <c r="AK60" s="148"/>
      <c r="AL60" s="172"/>
      <c r="AM60" s="148"/>
      <c r="AN60" s="148"/>
      <c r="AO60" s="172"/>
      <c r="AP60" s="148"/>
      <c r="AQ60" s="173"/>
      <c r="AR60" s="148"/>
      <c r="AV60" s="44"/>
      <c r="AW60" s="44"/>
      <c r="AX60" s="44"/>
      <c r="AY60" s="44"/>
      <c r="AZ60" s="44"/>
      <c r="BA60" s="44"/>
      <c r="BB60" s="44"/>
      <c r="BC60" s="44"/>
      <c r="BD60" s="44"/>
    </row>
    <row r="61" spans="1:56" s="40" customFormat="1" ht="19" customHeight="1">
      <c r="A61" s="148"/>
      <c r="B61" s="148"/>
      <c r="C61" s="167"/>
      <c r="D61" s="176"/>
      <c r="E61" s="148"/>
      <c r="F61" s="148"/>
      <c r="G61" s="148"/>
      <c r="K61" s="177" t="s">
        <v>610</v>
      </c>
      <c r="L61" s="178" t="s">
        <v>146</v>
      </c>
      <c r="M61" s="179">
        <f t="shared" ref="M61:V61" si="32">_xlfn.NORM.DIST(M27,M$29,M$30,TRUE)</f>
        <v>0.27317374527324378</v>
      </c>
      <c r="N61" s="179">
        <f t="shared" si="32"/>
        <v>0.38578939657439559</v>
      </c>
      <c r="O61" s="179">
        <f t="shared" si="32"/>
        <v>0.3516532569067391</v>
      </c>
      <c r="P61" s="179">
        <f t="shared" si="32"/>
        <v>0.1190867421712703</v>
      </c>
      <c r="Q61" s="179">
        <f t="shared" si="32"/>
        <v>0.58477469572307683</v>
      </c>
      <c r="R61" s="179">
        <f>_xlfn.NORM.DIST(R27,R$29,R$30,TRUE)</f>
        <v>0.35953419675390041</v>
      </c>
      <c r="S61" s="179">
        <f t="shared" si="32"/>
        <v>0.39099383900877288</v>
      </c>
      <c r="T61" s="179">
        <f t="shared" si="32"/>
        <v>0.28845951832307842</v>
      </c>
      <c r="U61" s="179">
        <f t="shared" si="32"/>
        <v>0.18770673748667355</v>
      </c>
      <c r="V61" s="179">
        <f t="shared" si="32"/>
        <v>0.97656992498566686</v>
      </c>
      <c r="AH61" s="148">
        <v>5.2</v>
      </c>
      <c r="AI61" s="148"/>
      <c r="AJ61" s="148"/>
      <c r="AK61" s="148"/>
      <c r="AL61" s="172"/>
      <c r="AM61" s="148"/>
      <c r="AN61" s="148"/>
      <c r="AO61" s="172"/>
      <c r="AP61" s="148"/>
      <c r="AQ61" s="173"/>
      <c r="AR61" s="148"/>
      <c r="AV61" s="44"/>
      <c r="AW61" s="44"/>
      <c r="AX61" s="44"/>
      <c r="AY61" s="44"/>
      <c r="AZ61" s="44"/>
      <c r="BA61" s="44"/>
      <c r="BB61" s="44"/>
      <c r="BC61" s="44"/>
      <c r="BD61" s="44"/>
    </row>
    <row r="62" spans="1:56" s="40" customFormat="1" ht="19" customHeight="1">
      <c r="A62" s="148"/>
      <c r="B62" s="148"/>
      <c r="C62" s="167"/>
      <c r="D62" s="176"/>
      <c r="E62" s="148"/>
      <c r="F62" s="148"/>
      <c r="G62" s="148"/>
      <c r="K62" s="177" t="s">
        <v>610</v>
      </c>
      <c r="L62" s="178" t="s">
        <v>61</v>
      </c>
      <c r="M62" s="179">
        <f t="shared" ref="M62:V62" si="33">_xlfn.NORM.DIST(M28,M$29,M$30,TRUE)</f>
        <v>0.37966310640859363</v>
      </c>
      <c r="N62" s="179">
        <f t="shared" si="33"/>
        <v>4.3909558213021171E-2</v>
      </c>
      <c r="O62" s="179">
        <f t="shared" si="33"/>
        <v>0.78123905117715053</v>
      </c>
      <c r="P62" s="179">
        <f t="shared" si="33"/>
        <v>0.8586916130976987</v>
      </c>
      <c r="Q62" s="179">
        <f t="shared" si="33"/>
        <v>9.9355811368567276E-2</v>
      </c>
      <c r="R62" s="179">
        <f>_xlfn.NORM.DIST(R28,R$29,R$30,TRUE)</f>
        <v>0.15970742621902018</v>
      </c>
      <c r="S62" s="179">
        <f t="shared" si="33"/>
        <v>0.99999602718278269</v>
      </c>
      <c r="T62" s="179">
        <f t="shared" si="33"/>
        <v>0.49662782531261696</v>
      </c>
      <c r="U62" s="179">
        <f t="shared" si="33"/>
        <v>0.91021146539869535</v>
      </c>
      <c r="V62" s="179">
        <f t="shared" si="33"/>
        <v>0.36651802505342335</v>
      </c>
      <c r="AH62" s="148">
        <v>3.5</v>
      </c>
      <c r="AI62" s="148"/>
      <c r="AJ62" s="148"/>
      <c r="AK62" s="148"/>
      <c r="AL62" s="172"/>
      <c r="AM62" s="148"/>
      <c r="AN62" s="148"/>
      <c r="AO62" s="172"/>
      <c r="AP62" s="148"/>
      <c r="AQ62" s="173"/>
      <c r="AR62" s="148"/>
      <c r="AV62" s="44"/>
      <c r="AW62" s="44"/>
      <c r="AX62" s="44"/>
      <c r="AY62" s="44"/>
      <c r="AZ62" s="44"/>
      <c r="BA62" s="44"/>
      <c r="BB62" s="44"/>
      <c r="BC62" s="44"/>
      <c r="BD62" s="44"/>
    </row>
    <row r="63" spans="1:56" ht="15" customHeight="1">
      <c r="A63" s="147"/>
      <c r="B63" s="147"/>
      <c r="C63" s="147"/>
      <c r="D63" s="147"/>
      <c r="E63" s="147"/>
      <c r="F63" s="147"/>
      <c r="G63" s="147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AO63" s="146"/>
      <c r="AP63" s="147"/>
      <c r="AQ63" s="147"/>
      <c r="AR63" s="147"/>
    </row>
    <row r="64" spans="1:56" ht="46" customHeight="1">
      <c r="A64" s="147"/>
      <c r="B64" s="147"/>
      <c r="C64" s="147"/>
      <c r="D64" s="147"/>
      <c r="E64" s="147"/>
      <c r="F64" s="147"/>
      <c r="G64" s="147"/>
      <c r="Z64" s="147"/>
      <c r="AA64" s="147"/>
      <c r="AB64" s="147"/>
      <c r="AC64" s="147"/>
      <c r="AP64" s="147"/>
      <c r="AQ64" s="147"/>
      <c r="AR64" s="147"/>
    </row>
    <row r="65" spans="1:44" ht="15" customHeight="1">
      <c r="A65" s="147"/>
      <c r="B65" s="147"/>
      <c r="C65" s="147"/>
      <c r="D65" s="147"/>
      <c r="E65" s="147"/>
      <c r="F65" s="147"/>
      <c r="G65" s="147"/>
      <c r="Z65" s="147"/>
      <c r="AA65" s="147"/>
      <c r="AB65" s="147"/>
      <c r="AC65" s="147"/>
      <c r="AD65" s="147"/>
      <c r="AE65" s="147"/>
      <c r="AP65" s="147"/>
      <c r="AQ65" s="147"/>
      <c r="AR65" s="147"/>
    </row>
    <row r="66" spans="1:44" ht="15" customHeight="1">
      <c r="A66" s="147"/>
      <c r="B66" s="147"/>
      <c r="C66" s="147"/>
      <c r="D66" s="147"/>
      <c r="E66" s="147"/>
      <c r="F66" s="147"/>
      <c r="G66" s="147"/>
      <c r="Z66" s="147"/>
      <c r="AA66" s="147"/>
      <c r="AB66" s="147"/>
      <c r="AC66" s="147"/>
      <c r="AD66" s="147"/>
      <c r="AE66" s="147"/>
      <c r="AP66" s="147"/>
      <c r="AQ66" s="147"/>
      <c r="AR66" s="147"/>
    </row>
    <row r="67" spans="1:44" ht="15" customHeight="1">
      <c r="A67" s="147"/>
      <c r="B67" s="150"/>
      <c r="C67" s="150"/>
      <c r="D67" s="147"/>
      <c r="E67" s="148"/>
      <c r="F67" s="147"/>
      <c r="G67" s="147"/>
      <c r="Z67" s="147"/>
      <c r="AA67" s="147"/>
      <c r="AB67" s="147"/>
      <c r="AC67" s="147"/>
      <c r="AD67" s="147"/>
      <c r="AE67" s="147"/>
      <c r="AP67" s="147"/>
      <c r="AQ67" s="147"/>
      <c r="AR67" s="147"/>
    </row>
    <row r="68" spans="1:44" ht="15" customHeight="1">
      <c r="A68" s="147"/>
      <c r="B68" s="150"/>
      <c r="C68" s="150"/>
      <c r="D68" s="147"/>
      <c r="E68" s="147"/>
      <c r="F68" s="147"/>
      <c r="G68" s="147"/>
      <c r="S68" s="147"/>
      <c r="T68" s="147"/>
      <c r="U68" s="147"/>
      <c r="V68" s="147"/>
      <c r="W68" s="147"/>
      <c r="X68" s="147"/>
      <c r="AP68" s="147"/>
      <c r="AQ68" s="147"/>
      <c r="AR68" s="147"/>
    </row>
    <row r="69" spans="1:44" ht="15" customHeight="1">
      <c r="A69" s="147"/>
      <c r="B69" s="150"/>
      <c r="C69" s="150"/>
      <c r="D69" s="147"/>
      <c r="E69" s="147"/>
      <c r="F69" s="147"/>
      <c r="G69" s="147"/>
      <c r="S69" s="147"/>
      <c r="T69" s="147"/>
      <c r="U69" s="147"/>
      <c r="V69" s="147"/>
      <c r="W69" s="147"/>
      <c r="X69" s="147"/>
    </row>
    <row r="70" spans="1:44" ht="15" customHeight="1">
      <c r="A70" s="147"/>
      <c r="B70" s="150"/>
      <c r="C70" s="150"/>
      <c r="D70" s="147"/>
      <c r="E70" s="147"/>
      <c r="F70" s="147"/>
      <c r="G70" s="147"/>
      <c r="L70" t="s">
        <v>322</v>
      </c>
      <c r="M70" s="5">
        <v>4581651</v>
      </c>
      <c r="O70" s="127" t="s">
        <v>322</v>
      </c>
      <c r="P70" cm="1">
        <f t="array" ref="P70:P95">VLOOKUP(O70:O95,L70:M95,2,FALSE)</f>
        <v>4581651</v>
      </c>
      <c r="S70" s="147"/>
      <c r="T70" s="224"/>
      <c r="U70" s="147"/>
      <c r="V70" s="147"/>
      <c r="W70" s="147"/>
      <c r="X70" s="147"/>
    </row>
    <row r="71" spans="1:44" ht="15" customHeight="1">
      <c r="A71" s="147"/>
      <c r="B71" s="150"/>
      <c r="C71" s="150"/>
      <c r="D71" s="147"/>
      <c r="E71" s="147"/>
      <c r="F71" s="147"/>
      <c r="G71" s="147"/>
      <c r="L71" t="s">
        <v>61</v>
      </c>
      <c r="M71" s="5">
        <v>119021703</v>
      </c>
      <c r="O71" s="6" t="s">
        <v>229</v>
      </c>
      <c r="P71">
        <v>12367235</v>
      </c>
      <c r="S71" s="147"/>
      <c r="T71" s="224"/>
      <c r="U71" s="147"/>
      <c r="V71" s="147"/>
      <c r="W71" s="147"/>
      <c r="X71" s="147"/>
    </row>
    <row r="72" spans="1:44" ht="15" customHeight="1">
      <c r="A72" s="147"/>
      <c r="B72" s="150"/>
      <c r="C72" s="150"/>
      <c r="D72" s="147"/>
      <c r="E72" s="147"/>
      <c r="F72" s="147"/>
      <c r="G72" s="147"/>
      <c r="L72" t="s">
        <v>120</v>
      </c>
      <c r="M72" s="5">
        <v>52696625</v>
      </c>
      <c r="O72" s="6" t="s">
        <v>230</v>
      </c>
      <c r="P72">
        <v>5991450</v>
      </c>
      <c r="S72" s="147"/>
      <c r="T72" s="224"/>
      <c r="U72" s="147"/>
      <c r="V72" s="147"/>
      <c r="W72" s="147"/>
      <c r="X72" s="147"/>
    </row>
    <row r="73" spans="1:44" ht="15" customHeight="1">
      <c r="A73" s="147"/>
      <c r="B73" s="150"/>
      <c r="C73" s="150"/>
      <c r="D73" s="147"/>
      <c r="E73" s="147"/>
      <c r="F73" s="147"/>
      <c r="G73" s="147"/>
      <c r="L73" t="s">
        <v>139</v>
      </c>
      <c r="M73" s="5">
        <v>5504874</v>
      </c>
      <c r="O73" s="6" t="s">
        <v>187</v>
      </c>
      <c r="P73">
        <v>5227113</v>
      </c>
      <c r="S73" s="147"/>
      <c r="T73" s="224"/>
      <c r="U73" s="147"/>
      <c r="V73" s="147"/>
      <c r="W73" s="147"/>
      <c r="X73" s="147"/>
    </row>
    <row r="74" spans="1:44" ht="15" customHeight="1">
      <c r="A74" s="147"/>
      <c r="B74" s="150"/>
      <c r="C74" s="150"/>
      <c r="D74" s="147"/>
      <c r="E74" s="147"/>
      <c r="F74" s="147"/>
      <c r="G74" s="147"/>
      <c r="L74" t="s">
        <v>229</v>
      </c>
      <c r="M74" s="5">
        <v>12367235</v>
      </c>
      <c r="O74" s="6" t="s">
        <v>167</v>
      </c>
      <c r="P74">
        <v>4385431</v>
      </c>
      <c r="S74" s="147"/>
      <c r="T74" s="224"/>
      <c r="U74" s="147"/>
      <c r="V74" s="147"/>
      <c r="W74" s="147"/>
      <c r="X74" s="147"/>
    </row>
    <row r="75" spans="1:44" ht="15" customHeight="1">
      <c r="A75" s="147"/>
      <c r="B75" s="150"/>
      <c r="C75" s="150"/>
      <c r="D75" s="147"/>
      <c r="E75" s="147"/>
      <c r="F75" s="147"/>
      <c r="G75" s="147"/>
      <c r="L75" t="s">
        <v>230</v>
      </c>
      <c r="M75" s="5">
        <v>5991450</v>
      </c>
      <c r="O75" s="67" t="s">
        <v>90</v>
      </c>
      <c r="P75">
        <v>5954662</v>
      </c>
      <c r="S75" s="147"/>
      <c r="T75" s="225"/>
      <c r="U75" s="147"/>
      <c r="V75" s="147"/>
      <c r="W75" s="147"/>
      <c r="X75" s="147"/>
    </row>
    <row r="76" spans="1:44" ht="15" customHeight="1">
      <c r="A76" s="147"/>
      <c r="B76" s="150"/>
      <c r="C76" s="150"/>
      <c r="D76" s="147"/>
      <c r="E76" s="147"/>
      <c r="F76" s="147"/>
      <c r="G76" s="147"/>
      <c r="L76" t="s">
        <v>155</v>
      </c>
      <c r="M76" s="5">
        <v>8958075</v>
      </c>
      <c r="O76" s="67" t="s">
        <v>323</v>
      </c>
      <c r="P76">
        <v>1513675</v>
      </c>
      <c r="S76" s="147"/>
      <c r="T76" s="225"/>
      <c r="U76" s="147"/>
      <c r="V76" s="147"/>
      <c r="W76" s="147"/>
      <c r="X76" s="147"/>
    </row>
    <row r="77" spans="1:44" ht="15" customHeight="1">
      <c r="A77" s="147"/>
      <c r="B77" s="150"/>
      <c r="C77" s="150"/>
      <c r="D77" s="147"/>
      <c r="E77" s="147"/>
      <c r="F77" s="147"/>
      <c r="G77" s="147"/>
      <c r="L77" t="s">
        <v>146</v>
      </c>
      <c r="M77" s="5">
        <v>2841422</v>
      </c>
      <c r="O77" s="67" t="s">
        <v>161</v>
      </c>
      <c r="P77">
        <v>1165253</v>
      </c>
      <c r="S77" s="147"/>
      <c r="T77" s="225"/>
      <c r="U77" s="147"/>
      <c r="V77" s="147"/>
      <c r="W77" s="147"/>
      <c r="X77" s="147"/>
    </row>
    <row r="78" spans="1:44" ht="15" customHeight="1">
      <c r="A78" s="147"/>
      <c r="B78" s="150"/>
      <c r="C78" s="150"/>
      <c r="D78" s="147"/>
      <c r="E78" s="147"/>
      <c r="F78" s="147"/>
      <c r="G78" s="147"/>
      <c r="L78" t="s">
        <v>167</v>
      </c>
      <c r="M78" s="5">
        <v>4385431</v>
      </c>
      <c r="O78" s="67" t="s">
        <v>154</v>
      </c>
      <c r="P78">
        <v>2744718</v>
      </c>
      <c r="S78" s="147"/>
      <c r="T78" s="225"/>
      <c r="U78" s="147"/>
      <c r="V78" s="147"/>
      <c r="W78" s="147"/>
      <c r="X78" s="147"/>
    </row>
    <row r="79" spans="1:44" ht="15" customHeight="1">
      <c r="A79" s="147"/>
      <c r="B79" s="150"/>
      <c r="C79" s="150"/>
      <c r="D79" s="147"/>
      <c r="E79" s="147"/>
      <c r="F79" s="147"/>
      <c r="G79" s="147"/>
      <c r="L79" t="s">
        <v>165</v>
      </c>
      <c r="M79" s="5">
        <v>1257134</v>
      </c>
      <c r="O79" s="67" t="s">
        <v>177</v>
      </c>
      <c r="P79">
        <v>1563326</v>
      </c>
      <c r="S79" s="147"/>
      <c r="T79" s="225"/>
      <c r="U79" s="147"/>
      <c r="V79" s="147"/>
      <c r="W79" s="147"/>
      <c r="X79" s="147"/>
    </row>
    <row r="80" spans="1:44" ht="15" customHeight="1">
      <c r="A80" s="147"/>
      <c r="B80" s="150"/>
      <c r="C80" s="150"/>
      <c r="D80" s="147"/>
      <c r="E80" s="147"/>
      <c r="F80" s="147"/>
      <c r="G80" s="147"/>
      <c r="L80" t="s">
        <v>187</v>
      </c>
      <c r="M80" s="5">
        <v>5227113</v>
      </c>
      <c r="O80" s="67" t="s">
        <v>142</v>
      </c>
      <c r="P80">
        <v>1504678</v>
      </c>
      <c r="S80" s="147"/>
      <c r="T80" s="225"/>
      <c r="U80" s="147"/>
      <c r="V80" s="147"/>
      <c r="W80" s="147"/>
      <c r="X80" s="147"/>
    </row>
    <row r="81" spans="1:24" ht="15" customHeight="1">
      <c r="A81" s="147"/>
      <c r="B81" s="150"/>
      <c r="C81" s="150"/>
      <c r="D81" s="147"/>
      <c r="E81" s="147"/>
      <c r="F81" s="147"/>
      <c r="G81" s="147"/>
      <c r="L81" t="s">
        <v>90</v>
      </c>
      <c r="M81" s="5">
        <v>5954662</v>
      </c>
      <c r="O81" s="67" t="s">
        <v>136</v>
      </c>
      <c r="P81">
        <v>452370</v>
      </c>
      <c r="S81" s="147"/>
      <c r="T81" s="225"/>
      <c r="U81" s="147"/>
      <c r="V81" s="147"/>
      <c r="W81" s="147"/>
      <c r="X81" s="147"/>
    </row>
    <row r="82" spans="1:24" ht="15" customHeight="1">
      <c r="A82" s="147"/>
      <c r="B82" s="150"/>
      <c r="C82" s="150"/>
      <c r="D82" s="147"/>
      <c r="E82" s="147"/>
      <c r="F82" s="147"/>
      <c r="G82" s="147"/>
      <c r="L82" t="s">
        <v>154</v>
      </c>
      <c r="M82" s="5">
        <v>2744718</v>
      </c>
      <c r="O82" s="67" t="s">
        <v>168</v>
      </c>
      <c r="P82">
        <v>1733772</v>
      </c>
      <c r="S82" s="147"/>
      <c r="T82" s="225"/>
      <c r="U82" s="147"/>
      <c r="V82" s="147"/>
      <c r="W82" s="147"/>
      <c r="X82" s="147"/>
    </row>
    <row r="83" spans="1:24" ht="15" customHeight="1">
      <c r="A83" s="147"/>
      <c r="B83" s="150"/>
      <c r="C83" s="150"/>
      <c r="D83" s="147"/>
      <c r="E83" s="147"/>
      <c r="F83" s="147"/>
      <c r="G83" s="147"/>
      <c r="L83" t="s">
        <v>136</v>
      </c>
      <c r="M83" s="5">
        <v>452370</v>
      </c>
      <c r="O83" s="67" t="s">
        <v>184</v>
      </c>
      <c r="P83">
        <v>2369212</v>
      </c>
      <c r="S83" s="147"/>
      <c r="T83" s="225"/>
      <c r="U83" s="147"/>
      <c r="V83" s="147"/>
      <c r="W83" s="147"/>
      <c r="X83" s="147"/>
    </row>
    <row r="84" spans="1:24" ht="15" customHeight="1">
      <c r="A84" s="147"/>
      <c r="B84" s="150"/>
      <c r="C84" s="150"/>
      <c r="D84" s="147"/>
      <c r="E84" s="147"/>
      <c r="F84" s="147"/>
      <c r="G84" s="147"/>
      <c r="L84" t="s">
        <v>171</v>
      </c>
      <c r="M84" s="5">
        <v>718260</v>
      </c>
      <c r="O84" s="67" t="s">
        <v>171</v>
      </c>
      <c r="P84">
        <v>718260</v>
      </c>
      <c r="S84" s="147"/>
      <c r="T84" s="225"/>
      <c r="U84" s="147"/>
      <c r="V84" s="147"/>
      <c r="W84" s="147"/>
      <c r="X84" s="147"/>
    </row>
    <row r="85" spans="1:24" ht="15" customHeight="1">
      <c r="A85" s="147"/>
      <c r="B85" s="150"/>
      <c r="C85" s="150"/>
      <c r="D85" s="147"/>
      <c r="E85" s="147"/>
      <c r="F85" s="147"/>
      <c r="G85" s="147"/>
      <c r="L85" t="s">
        <v>176</v>
      </c>
      <c r="M85" s="5">
        <v>227147</v>
      </c>
      <c r="O85" s="67" t="s">
        <v>89</v>
      </c>
      <c r="P85">
        <v>1349855</v>
      </c>
      <c r="S85" s="147"/>
      <c r="T85" s="225"/>
      <c r="U85" s="147"/>
      <c r="V85" s="147"/>
      <c r="W85" s="147"/>
      <c r="X85" s="147"/>
    </row>
    <row r="86" spans="1:24" ht="15" customHeight="1">
      <c r="A86" s="147"/>
      <c r="B86" s="150"/>
      <c r="C86" s="150"/>
      <c r="D86" s="147"/>
      <c r="E86" s="147"/>
      <c r="F86" s="147"/>
      <c r="G86" s="147"/>
      <c r="L86" s="67" t="s">
        <v>323</v>
      </c>
      <c r="M86" s="5">
        <v>1513675</v>
      </c>
      <c r="O86" s="67" t="s">
        <v>159</v>
      </c>
      <c r="P86">
        <v>4477244</v>
      </c>
      <c r="S86" s="147"/>
      <c r="T86" s="225"/>
      <c r="U86" s="147"/>
      <c r="V86" s="147"/>
      <c r="W86" s="147"/>
      <c r="X86" s="147"/>
    </row>
    <row r="87" spans="1:24" ht="15" customHeight="1">
      <c r="A87" s="147"/>
      <c r="B87" s="150"/>
      <c r="C87" s="150"/>
      <c r="D87" s="147"/>
      <c r="E87" s="147"/>
      <c r="F87" s="147"/>
      <c r="G87" s="147"/>
      <c r="L87" t="s">
        <v>177</v>
      </c>
      <c r="M87" s="5">
        <v>1563326</v>
      </c>
      <c r="O87" s="67" t="s">
        <v>176</v>
      </c>
      <c r="P87">
        <v>227147</v>
      </c>
      <c r="S87" s="147"/>
      <c r="T87" s="225"/>
      <c r="U87" s="147"/>
      <c r="V87" s="147"/>
      <c r="W87" s="147"/>
      <c r="X87" s="147"/>
    </row>
    <row r="88" spans="1:24" ht="15" customHeight="1">
      <c r="A88" s="147"/>
      <c r="B88" s="150"/>
      <c r="C88" s="150"/>
      <c r="D88" s="147"/>
      <c r="E88" s="147"/>
      <c r="F88" s="147"/>
      <c r="G88" s="147"/>
      <c r="L88" t="s">
        <v>168</v>
      </c>
      <c r="M88" s="5">
        <v>1733772</v>
      </c>
      <c r="O88" s="67" t="s">
        <v>119</v>
      </c>
      <c r="P88">
        <v>344900</v>
      </c>
      <c r="S88" s="147"/>
      <c r="T88" s="225"/>
      <c r="U88" s="147"/>
      <c r="V88" s="147"/>
      <c r="W88" s="147"/>
      <c r="X88" s="147"/>
    </row>
    <row r="89" spans="1:24" ht="15" customHeight="1">
      <c r="A89" s="147"/>
      <c r="B89" s="150"/>
      <c r="C89" s="150"/>
      <c r="D89" s="147"/>
      <c r="E89" s="147"/>
      <c r="F89" s="147"/>
      <c r="G89" s="147"/>
      <c r="L89" t="s">
        <v>89</v>
      </c>
      <c r="M89" s="5">
        <v>1349855</v>
      </c>
      <c r="O89" s="67" t="s">
        <v>183</v>
      </c>
      <c r="P89">
        <v>1152904</v>
      </c>
      <c r="S89" s="147"/>
      <c r="T89" s="224"/>
      <c r="U89" s="147"/>
      <c r="V89" s="147"/>
      <c r="W89" s="147"/>
      <c r="X89" s="147"/>
    </row>
    <row r="90" spans="1:24" ht="15" customHeight="1">
      <c r="A90" s="147"/>
      <c r="B90" s="150"/>
      <c r="C90" s="150"/>
      <c r="D90" s="147"/>
      <c r="E90" s="147"/>
      <c r="F90" s="147"/>
      <c r="G90" s="147"/>
      <c r="L90" t="s">
        <v>119</v>
      </c>
      <c r="M90" s="5">
        <v>344900</v>
      </c>
      <c r="O90" s="6" t="s">
        <v>165</v>
      </c>
      <c r="P90">
        <v>1257134</v>
      </c>
      <c r="S90" s="147"/>
      <c r="T90" s="224"/>
      <c r="U90" s="147"/>
      <c r="V90" s="147"/>
      <c r="W90" s="147"/>
      <c r="X90" s="147"/>
    </row>
    <row r="91" spans="1:24" ht="15" customHeight="1">
      <c r="A91" s="147"/>
      <c r="B91" s="150"/>
      <c r="C91" s="150"/>
      <c r="D91" s="147"/>
      <c r="E91" s="147"/>
      <c r="F91" s="147"/>
      <c r="G91" s="147"/>
      <c r="L91" t="s">
        <v>161</v>
      </c>
      <c r="M91" s="5">
        <v>1165253</v>
      </c>
      <c r="O91" s="6" t="s">
        <v>120</v>
      </c>
      <c r="P91">
        <v>52696625</v>
      </c>
      <c r="S91" s="147"/>
      <c r="T91" s="224"/>
      <c r="U91" s="147"/>
      <c r="V91" s="147"/>
      <c r="W91" s="147"/>
      <c r="X91" s="147"/>
    </row>
    <row r="92" spans="1:24" ht="15" customHeight="1">
      <c r="A92" s="147"/>
      <c r="B92" s="150"/>
      <c r="C92" s="150"/>
      <c r="D92" s="147"/>
      <c r="E92" s="147"/>
      <c r="F92" s="147"/>
      <c r="G92" s="147"/>
      <c r="L92" t="s">
        <v>142</v>
      </c>
      <c r="M92" s="5">
        <v>1504678</v>
      </c>
      <c r="O92" s="6" t="s">
        <v>155</v>
      </c>
      <c r="P92">
        <v>8958075</v>
      </c>
      <c r="S92" s="147"/>
      <c r="T92" s="224"/>
      <c r="U92" s="147"/>
      <c r="V92" s="147"/>
      <c r="W92" s="147"/>
      <c r="X92" s="147"/>
    </row>
    <row r="93" spans="1:24" ht="15" customHeight="1">
      <c r="A93" s="147"/>
      <c r="B93" s="147"/>
      <c r="C93" s="147"/>
      <c r="D93" s="147"/>
      <c r="E93" s="147"/>
      <c r="F93" s="147"/>
      <c r="G93" s="147"/>
      <c r="L93" t="s">
        <v>184</v>
      </c>
      <c r="M93" s="5">
        <v>2369212</v>
      </c>
      <c r="O93" s="6" t="s">
        <v>139</v>
      </c>
      <c r="P93">
        <v>5504874</v>
      </c>
      <c r="S93" s="147"/>
      <c r="T93" s="224"/>
      <c r="U93" s="147"/>
      <c r="V93" s="147"/>
      <c r="W93" s="147"/>
      <c r="X93" s="147"/>
    </row>
    <row r="94" spans="1:24" ht="15" customHeight="1">
      <c r="A94" s="147"/>
      <c r="B94" s="147"/>
      <c r="C94" s="147"/>
      <c r="D94" s="147"/>
      <c r="E94" s="147"/>
      <c r="F94" s="147"/>
      <c r="G94" s="147"/>
      <c r="L94" t="s">
        <v>159</v>
      </c>
      <c r="M94" s="5">
        <v>4477244</v>
      </c>
      <c r="O94" s="6" t="s">
        <v>146</v>
      </c>
      <c r="P94">
        <v>2841422</v>
      </c>
      <c r="S94" s="147"/>
      <c r="T94" s="226"/>
      <c r="U94" s="147"/>
      <c r="V94" s="147"/>
      <c r="W94" s="147"/>
      <c r="X94" s="147"/>
    </row>
    <row r="95" spans="1:24" ht="15" customHeight="1">
      <c r="A95" s="147"/>
      <c r="B95" s="147"/>
      <c r="C95" s="147"/>
      <c r="D95" s="147"/>
      <c r="E95" s="147"/>
      <c r="F95" s="147"/>
      <c r="G95" s="147"/>
      <c r="L95" t="s">
        <v>183</v>
      </c>
      <c r="M95" s="5">
        <v>1152904</v>
      </c>
      <c r="O95" s="6" t="s">
        <v>61</v>
      </c>
      <c r="P95">
        <v>119021703</v>
      </c>
      <c r="S95" s="147"/>
      <c r="T95" s="224"/>
      <c r="U95" s="147"/>
      <c r="V95" s="147"/>
      <c r="W95" s="147"/>
      <c r="X95" s="147"/>
    </row>
    <row r="96" spans="1:24" ht="15" customHeight="1">
      <c r="A96" s="147"/>
      <c r="B96" s="147"/>
      <c r="C96" s="147"/>
      <c r="D96" s="147"/>
      <c r="E96" s="147"/>
      <c r="F96" s="147"/>
      <c r="G96" s="147"/>
      <c r="S96" s="147"/>
      <c r="T96" s="147"/>
      <c r="U96" s="147"/>
      <c r="V96" s="147"/>
      <c r="W96" s="147"/>
      <c r="X96" s="147"/>
    </row>
    <row r="97" spans="1:31" ht="15" customHeight="1">
      <c r="A97" s="147"/>
      <c r="B97" s="147"/>
      <c r="C97" s="147"/>
      <c r="D97" s="147"/>
      <c r="E97" s="147"/>
      <c r="F97" s="147"/>
      <c r="G97" s="147"/>
      <c r="S97" s="147"/>
      <c r="T97" s="147"/>
      <c r="U97" s="147"/>
      <c r="V97" s="147"/>
      <c r="W97" s="147"/>
      <c r="X97" s="147"/>
    </row>
    <row r="98" spans="1:31" ht="15" customHeight="1">
      <c r="A98" s="147"/>
      <c r="B98" s="147"/>
      <c r="C98" s="147"/>
      <c r="D98" s="147"/>
      <c r="E98" s="147"/>
      <c r="F98" s="147"/>
      <c r="G98" s="147"/>
      <c r="S98" s="147"/>
      <c r="T98" s="227"/>
      <c r="U98" s="227"/>
      <c r="V98" s="227"/>
      <c r="W98" s="227"/>
      <c r="X98" s="227"/>
      <c r="AB98" s="106" t="s">
        <v>219</v>
      </c>
      <c r="AD98" s="106" t="s">
        <v>220</v>
      </c>
      <c r="AE98" s="106" t="s">
        <v>221</v>
      </c>
    </row>
    <row r="99" spans="1:31" ht="15" customHeight="1">
      <c r="A99" s="147"/>
      <c r="B99" s="147"/>
      <c r="C99" s="147"/>
      <c r="D99" s="147"/>
      <c r="E99" s="147"/>
      <c r="F99" s="147"/>
      <c r="G99" s="147"/>
      <c r="S99" s="147"/>
      <c r="T99" s="227"/>
      <c r="U99" s="227"/>
      <c r="V99" s="227"/>
      <c r="W99" s="227"/>
      <c r="X99" s="227"/>
      <c r="AB99" s="107" t="s">
        <v>229</v>
      </c>
      <c r="AD99" s="108">
        <v>7100000</v>
      </c>
      <c r="AE99" s="108">
        <v>5530422</v>
      </c>
    </row>
    <row r="100" spans="1:31" ht="15" customHeight="1">
      <c r="S100" s="147"/>
      <c r="T100" s="228"/>
      <c r="U100" s="227"/>
      <c r="V100" s="227"/>
      <c r="W100" s="227"/>
      <c r="X100" s="227"/>
      <c r="AB100" s="109" t="s">
        <v>230</v>
      </c>
      <c r="AD100" s="109" t="s">
        <v>231</v>
      </c>
      <c r="AE100" s="110">
        <v>5125428</v>
      </c>
    </row>
    <row r="101" spans="1:31" ht="15" customHeight="1">
      <c r="L101" s="159" t="s">
        <v>212</v>
      </c>
      <c r="M101" t="s">
        <v>214</v>
      </c>
      <c r="N101" t="s">
        <v>693</v>
      </c>
      <c r="O101" t="s">
        <v>298</v>
      </c>
      <c r="P101" t="s">
        <v>228</v>
      </c>
      <c r="Q101" t="s">
        <v>603</v>
      </c>
      <c r="S101" s="147"/>
      <c r="T101" s="228"/>
      <c r="U101" s="227"/>
      <c r="V101" s="227"/>
      <c r="W101" s="227"/>
      <c r="X101" s="227"/>
      <c r="AB101" s="107" t="s">
        <v>194</v>
      </c>
      <c r="AD101" s="108">
        <v>100000</v>
      </c>
      <c r="AE101" s="108">
        <v>732419</v>
      </c>
    </row>
    <row r="102" spans="1:31" ht="15" customHeight="1">
      <c r="L102" s="161" t="s">
        <v>322</v>
      </c>
      <c r="M102">
        <v>1.665726872246696</v>
      </c>
      <c r="N102">
        <v>28922550</v>
      </c>
      <c r="O102">
        <v>7.8</v>
      </c>
      <c r="P102">
        <v>106.74561752239512</v>
      </c>
      <c r="Q102">
        <v>3.4670707816158337E-2</v>
      </c>
      <c r="S102" s="159" t="s">
        <v>212</v>
      </c>
      <c r="U102" s="227"/>
      <c r="V102" s="227"/>
      <c r="W102" s="227"/>
      <c r="X102" s="227"/>
      <c r="AB102" s="109" t="s">
        <v>232</v>
      </c>
      <c r="AD102" s="110">
        <v>550000</v>
      </c>
      <c r="AE102" s="110">
        <v>995027</v>
      </c>
    </row>
    <row r="103" spans="1:31" ht="15" customHeight="1">
      <c r="L103" s="161" t="s">
        <v>229</v>
      </c>
      <c r="M103">
        <v>0.49202354579358759</v>
      </c>
      <c r="N103">
        <v>6103390</v>
      </c>
      <c r="O103">
        <v>12</v>
      </c>
      <c r="P103">
        <v>223.84195969697979</v>
      </c>
      <c r="Q103">
        <v>7.2703304939166019E-2</v>
      </c>
      <c r="S103" s="161" t="s">
        <v>229</v>
      </c>
      <c r="T103" s="233">
        <v>25446156.728708107</v>
      </c>
      <c r="U103" s="227"/>
      <c r="V103" s="227"/>
      <c r="W103" s="227"/>
      <c r="X103" s="227"/>
      <c r="AB103" s="107" t="s">
        <v>223</v>
      </c>
      <c r="AD103" s="108">
        <v>700000</v>
      </c>
      <c r="AE103" s="108">
        <v>1123999</v>
      </c>
    </row>
    <row r="104" spans="1:31" ht="15" customHeight="1">
      <c r="L104" s="161" t="s">
        <v>230</v>
      </c>
      <c r="M104">
        <v>1.3378375752564178</v>
      </c>
      <c r="N104">
        <v>4336020</v>
      </c>
      <c r="O104">
        <v>9.5</v>
      </c>
      <c r="P104">
        <v>220.459483107533</v>
      </c>
      <c r="Q104">
        <v>7.1604685059028075E-2</v>
      </c>
      <c r="S104" s="161" t="s">
        <v>230</v>
      </c>
      <c r="T104" s="233">
        <v>25061639.770659827</v>
      </c>
      <c r="U104" s="227"/>
      <c r="V104" s="227"/>
      <c r="W104" s="227"/>
      <c r="X104" s="227"/>
      <c r="AB104" s="109" t="s">
        <v>172</v>
      </c>
      <c r="AD104" s="110">
        <v>7100000</v>
      </c>
      <c r="AE104" s="110">
        <v>5530422</v>
      </c>
    </row>
    <row r="105" spans="1:31" ht="15" customHeight="1">
      <c r="L105" s="161" t="s">
        <v>187</v>
      </c>
      <c r="M105">
        <v>1.1905861244019138</v>
      </c>
      <c r="N105">
        <v>2744520</v>
      </c>
      <c r="O105">
        <v>7.5</v>
      </c>
      <c r="P105">
        <v>211.90058304596513</v>
      </c>
      <c r="Q105">
        <v>6.8824775867907764E-2</v>
      </c>
      <c r="S105" s="161" t="s">
        <v>120</v>
      </c>
      <c r="T105" s="233">
        <v>24099004.558316339</v>
      </c>
      <c r="U105" s="227"/>
      <c r="V105" s="227"/>
      <c r="W105" s="227"/>
      <c r="X105" s="227"/>
      <c r="AB105" s="111" t="s">
        <v>177</v>
      </c>
      <c r="AD105" s="111" t="s">
        <v>231</v>
      </c>
      <c r="AE105" s="112">
        <v>5125428</v>
      </c>
    </row>
    <row r="106" spans="1:31" ht="15" customHeight="1">
      <c r="L106" s="161" t="s">
        <v>167</v>
      </c>
      <c r="M106">
        <v>0.73923604524317821</v>
      </c>
      <c r="N106">
        <v>2502200</v>
      </c>
      <c r="O106">
        <v>7</v>
      </c>
      <c r="P106">
        <v>210.7512149090214</v>
      </c>
      <c r="Q106">
        <v>6.8451463990810632E-2</v>
      </c>
      <c r="S106" s="161" t="s">
        <v>187</v>
      </c>
      <c r="T106" s="233">
        <v>24088671.553767718</v>
      </c>
      <c r="U106" s="227"/>
      <c r="V106" s="227"/>
      <c r="W106" s="227"/>
      <c r="X106" s="227"/>
      <c r="AB106" s="107" t="s">
        <v>187</v>
      </c>
      <c r="AD106" s="108">
        <v>100000</v>
      </c>
      <c r="AE106" s="108">
        <v>732419</v>
      </c>
    </row>
    <row r="107" spans="1:31" ht="15" customHeight="1">
      <c r="L107" s="202" t="s">
        <v>90</v>
      </c>
      <c r="M107">
        <v>0.37037908212192489</v>
      </c>
      <c r="N107">
        <v>345030</v>
      </c>
      <c r="O107">
        <v>3.2</v>
      </c>
      <c r="P107">
        <v>59.364732703587514</v>
      </c>
      <c r="Q107">
        <v>1.9281515718606528E-2</v>
      </c>
      <c r="S107" s="161" t="s">
        <v>167</v>
      </c>
      <c r="T107" s="233">
        <v>23958012.396783721</v>
      </c>
      <c r="U107" s="227"/>
      <c r="V107" s="227"/>
      <c r="W107" s="227"/>
      <c r="X107" s="227"/>
      <c r="AB107" s="109" t="s">
        <v>168</v>
      </c>
      <c r="AD107" s="110">
        <v>550000</v>
      </c>
      <c r="AE107" s="110">
        <v>995027</v>
      </c>
    </row>
    <row r="108" spans="1:31" ht="15" customHeight="1">
      <c r="L108" s="202" t="s">
        <v>323</v>
      </c>
      <c r="M108">
        <v>0.52560858080675987</v>
      </c>
      <c r="N108">
        <v>120190</v>
      </c>
      <c r="O108">
        <v>2.8</v>
      </c>
      <c r="P108">
        <v>66.696784419098236</v>
      </c>
      <c r="Q108">
        <v>2.1662947655782801E-2</v>
      </c>
      <c r="S108" s="161" t="s">
        <v>165</v>
      </c>
      <c r="T108" s="233">
        <v>23940980.326107528</v>
      </c>
      <c r="U108" s="227"/>
      <c r="V108" s="227"/>
      <c r="W108" s="227"/>
      <c r="X108" s="227"/>
      <c r="AB108" s="107" t="s">
        <v>165</v>
      </c>
      <c r="AD108" s="108">
        <v>700000</v>
      </c>
      <c r="AE108" s="108">
        <v>1123999</v>
      </c>
    </row>
    <row r="109" spans="1:31" ht="15" customHeight="1">
      <c r="L109" s="202" t="s">
        <v>161</v>
      </c>
      <c r="M109">
        <v>1.2274418224049046</v>
      </c>
      <c r="N109">
        <v>206030</v>
      </c>
      <c r="O109">
        <v>4.4000000000000004</v>
      </c>
      <c r="P109">
        <v>54.617531191652994</v>
      </c>
      <c r="Q109">
        <v>1.7739636619633906E-2</v>
      </c>
      <c r="S109" s="161" t="s">
        <v>155</v>
      </c>
      <c r="T109" s="233">
        <v>22986565.799569886</v>
      </c>
      <c r="U109" s="227"/>
      <c r="V109" s="227"/>
      <c r="W109" s="227"/>
      <c r="X109" s="227"/>
      <c r="AB109" s="109" t="s">
        <v>167</v>
      </c>
      <c r="AD109" s="110">
        <v>2100000</v>
      </c>
      <c r="AE109" s="110">
        <v>2072729</v>
      </c>
    </row>
    <row r="110" spans="1:31" ht="15" customHeight="1">
      <c r="L110" s="202" t="s">
        <v>154</v>
      </c>
      <c r="M110">
        <v>1.2241379310344827</v>
      </c>
      <c r="N110">
        <v>268700</v>
      </c>
      <c r="O110">
        <v>5.5</v>
      </c>
      <c r="P110">
        <v>65.091672118060487</v>
      </c>
      <c r="Q110">
        <v>2.1141611221622156E-2</v>
      </c>
      <c r="S110" s="161" t="s">
        <v>61</v>
      </c>
      <c r="T110" s="233">
        <v>22682137.125178378</v>
      </c>
      <c r="U110" s="227"/>
      <c r="V110" s="227"/>
      <c r="W110" s="227"/>
      <c r="X110" s="227"/>
      <c r="AB110" s="107" t="s">
        <v>224</v>
      </c>
      <c r="AD110" s="108">
        <v>400000</v>
      </c>
      <c r="AE110" s="108">
        <v>1009352</v>
      </c>
    </row>
    <row r="111" spans="1:31" ht="15" customHeight="1">
      <c r="L111" s="202" t="s">
        <v>177</v>
      </c>
      <c r="M111">
        <v>0.91194935993975901</v>
      </c>
      <c r="N111">
        <v>1196600</v>
      </c>
      <c r="O111">
        <v>9</v>
      </c>
      <c r="P111">
        <v>80.443354696549676</v>
      </c>
      <c r="Q111">
        <v>2.6127799071943417E-2</v>
      </c>
      <c r="S111" s="161" t="s">
        <v>139</v>
      </c>
      <c r="T111" s="233">
        <v>22051907.270853765</v>
      </c>
      <c r="U111" s="227"/>
      <c r="V111" s="227"/>
      <c r="W111" s="227"/>
      <c r="X111" s="227"/>
    </row>
    <row r="112" spans="1:31" ht="15" customHeight="1">
      <c r="L112" s="202" t="s">
        <v>142</v>
      </c>
      <c r="M112">
        <v>1.1874803146282273</v>
      </c>
      <c r="N112">
        <v>532200</v>
      </c>
      <c r="O112">
        <v>3.5</v>
      </c>
      <c r="P112">
        <v>67.726058707607265</v>
      </c>
      <c r="Q112">
        <v>2.1997253353270511E-2</v>
      </c>
      <c r="S112" s="161" t="s">
        <v>322</v>
      </c>
      <c r="T112" s="233">
        <v>12134747.735655418</v>
      </c>
      <c r="U112" s="227"/>
      <c r="V112" s="227"/>
      <c r="W112" s="227"/>
      <c r="X112" s="227"/>
    </row>
    <row r="113" spans="12:24" ht="15" customHeight="1">
      <c r="L113" s="202" t="s">
        <v>136</v>
      </c>
      <c r="M113">
        <v>1.3874519788499857</v>
      </c>
      <c r="N113">
        <v>240140</v>
      </c>
      <c r="O113">
        <v>3.8</v>
      </c>
      <c r="P113">
        <v>57.374398623009512</v>
      </c>
      <c r="Q113">
        <v>1.8635060220330128E-2</v>
      </c>
      <c r="S113" s="202" t="s">
        <v>171</v>
      </c>
      <c r="T113" s="233">
        <v>9175507.6399019081</v>
      </c>
      <c r="U113" s="227"/>
      <c r="V113" s="227"/>
      <c r="W113" s="227"/>
      <c r="X113" s="227"/>
    </row>
    <row r="114" spans="12:24" ht="15" customHeight="1">
      <c r="L114" s="202" t="s">
        <v>168</v>
      </c>
      <c r="M114">
        <v>0.48114695176029432</v>
      </c>
      <c r="N114">
        <v>1255660</v>
      </c>
      <c r="O114">
        <v>6.5</v>
      </c>
      <c r="P114">
        <v>73.745254366586195</v>
      </c>
      <c r="Q114">
        <v>2.3952272948683542E-2</v>
      </c>
      <c r="S114" s="202" t="s">
        <v>177</v>
      </c>
      <c r="T114" s="233">
        <v>9144729.6751801968</v>
      </c>
      <c r="U114" s="227"/>
      <c r="V114" s="227"/>
      <c r="W114" s="227"/>
      <c r="X114" s="227"/>
    </row>
    <row r="115" spans="12:24" ht="15" customHeight="1">
      <c r="L115" s="202" t="s">
        <v>184</v>
      </c>
      <c r="M115">
        <v>1.2439107198809547</v>
      </c>
      <c r="N115">
        <v>880950</v>
      </c>
      <c r="O115">
        <v>7.2</v>
      </c>
      <c r="P115">
        <v>78.5384956735587</v>
      </c>
      <c r="Q115">
        <v>2.5509105657169389E-2</v>
      </c>
      <c r="S115" s="202" t="s">
        <v>184</v>
      </c>
      <c r="T115" s="233">
        <v>8928186.9800092857</v>
      </c>
      <c r="U115" s="227"/>
      <c r="V115" s="227"/>
      <c r="W115" s="227"/>
      <c r="X115" s="227"/>
    </row>
    <row r="116" spans="12:24" ht="15" customHeight="1">
      <c r="L116" s="202" t="s">
        <v>171</v>
      </c>
      <c r="M116">
        <v>0.16465179421177403</v>
      </c>
      <c r="N116">
        <v>234610</v>
      </c>
      <c r="O116">
        <v>8.5</v>
      </c>
      <c r="P116">
        <v>80.714098919822504</v>
      </c>
      <c r="Q116">
        <v>2.6215736114005454E-2</v>
      </c>
      <c r="S116" s="202" t="s">
        <v>176</v>
      </c>
      <c r="T116" s="233">
        <v>8824270.6557743829</v>
      </c>
      <c r="U116" s="227"/>
      <c r="V116" s="227"/>
      <c r="W116" s="227"/>
      <c r="X116" s="227"/>
    </row>
    <row r="117" spans="12:24" ht="15" customHeight="1">
      <c r="L117" s="202" t="s">
        <v>89</v>
      </c>
      <c r="M117">
        <v>0.22741542704099618</v>
      </c>
      <c r="N117">
        <v>117380</v>
      </c>
      <c r="O117">
        <v>2.2000000000000002</v>
      </c>
      <c r="P117">
        <v>65.584655979584738</v>
      </c>
      <c r="Q117">
        <v>2.1301731138652032E-2</v>
      </c>
      <c r="S117" s="174" t="s">
        <v>183</v>
      </c>
      <c r="T117" s="233">
        <v>8702223.5900711007</v>
      </c>
      <c r="U117" s="227"/>
      <c r="V117" s="227"/>
      <c r="W117" s="227"/>
      <c r="X117" s="227"/>
    </row>
    <row r="118" spans="12:24" ht="15" customHeight="1">
      <c r="L118" s="202" t="s">
        <v>159</v>
      </c>
      <c r="M118">
        <v>1.2772381769015262</v>
      </c>
      <c r="N118">
        <v>1251740</v>
      </c>
      <c r="O118">
        <v>4.5</v>
      </c>
      <c r="P118">
        <v>64.776155741175117</v>
      </c>
      <c r="Q118">
        <v>2.103913229679032E-2</v>
      </c>
      <c r="S118" s="202" t="s">
        <v>168</v>
      </c>
      <c r="T118" s="233">
        <v>8383295.53203924</v>
      </c>
      <c r="U118" s="227"/>
      <c r="V118" s="227"/>
      <c r="W118" s="227"/>
      <c r="X118" s="227"/>
    </row>
    <row r="119" spans="12:24" ht="15" customHeight="1">
      <c r="L119" s="202" t="s">
        <v>176</v>
      </c>
      <c r="M119">
        <v>0.55432432432432432</v>
      </c>
      <c r="N119">
        <v>104600</v>
      </c>
      <c r="O119">
        <v>8</v>
      </c>
      <c r="P119">
        <v>77.624375953663829</v>
      </c>
      <c r="Q119">
        <v>2.5212201873641094E-2</v>
      </c>
      <c r="S119" s="202" t="s">
        <v>142</v>
      </c>
      <c r="T119" s="233">
        <v>7699038.6736446787</v>
      </c>
      <c r="U119" s="227"/>
      <c r="V119" s="227"/>
      <c r="W119" s="227"/>
      <c r="X119" s="227"/>
    </row>
    <row r="120" spans="12:24" ht="15" customHeight="1">
      <c r="L120" s="202" t="s">
        <v>119</v>
      </c>
      <c r="M120">
        <v>0.67266762045269668</v>
      </c>
      <c r="N120">
        <v>206910</v>
      </c>
      <c r="O120">
        <v>2.8</v>
      </c>
      <c r="P120">
        <v>62.828596888603435</v>
      </c>
      <c r="Q120">
        <v>2.0406570084874509E-2</v>
      </c>
      <c r="S120" s="202" t="s">
        <v>323</v>
      </c>
      <c r="T120" s="233">
        <v>7582031.6795239802</v>
      </c>
      <c r="U120" s="227"/>
      <c r="V120" s="227"/>
      <c r="W120" s="227"/>
      <c r="X120" s="227"/>
    </row>
    <row r="121" spans="12:24" ht="15" customHeight="1">
      <c r="L121" s="174" t="s">
        <v>183</v>
      </c>
      <c r="M121">
        <v>1.2000286498278177</v>
      </c>
      <c r="N121">
        <v>509220</v>
      </c>
      <c r="O121">
        <v>6.5</v>
      </c>
      <c r="P121">
        <v>76.550765716426412</v>
      </c>
      <c r="Q121">
        <v>2.4863495971631715E-2</v>
      </c>
      <c r="S121" s="202" t="s">
        <v>89</v>
      </c>
      <c r="T121" s="233">
        <v>7455605.8985282108</v>
      </c>
      <c r="U121" s="227"/>
      <c r="V121" s="227"/>
      <c r="W121" s="227"/>
      <c r="X121" s="227"/>
    </row>
    <row r="122" spans="12:24" ht="15" customHeight="1">
      <c r="L122" s="161" t="s">
        <v>165</v>
      </c>
      <c r="M122">
        <v>1.0555335319266441</v>
      </c>
      <c r="N122">
        <v>2192340</v>
      </c>
      <c r="O122">
        <v>7.5</v>
      </c>
      <c r="P122">
        <v>210.6013890583634</v>
      </c>
      <c r="Q122">
        <v>6.8402800931735799E-2</v>
      </c>
      <c r="S122" s="202" t="s">
        <v>154</v>
      </c>
      <c r="T122" s="233">
        <v>7399563.9275677549</v>
      </c>
      <c r="U122" s="227"/>
      <c r="V122" s="227"/>
      <c r="W122" s="227"/>
      <c r="X122" s="227"/>
    </row>
    <row r="123" spans="12:24" ht="15" customHeight="1">
      <c r="L123" s="161" t="s">
        <v>120</v>
      </c>
      <c r="M123">
        <v>0.10856077109273959</v>
      </c>
      <c r="N123">
        <v>54110</v>
      </c>
      <c r="O123">
        <v>11.5</v>
      </c>
      <c r="P123">
        <v>211.99147928669731</v>
      </c>
      <c r="Q123">
        <v>6.8854298738046688E-2</v>
      </c>
      <c r="S123" s="202" t="s">
        <v>159</v>
      </c>
      <c r="T123" s="233">
        <v>7363696.3038766123</v>
      </c>
      <c r="U123" s="227"/>
      <c r="V123" s="227"/>
      <c r="W123" s="227"/>
      <c r="X123" s="227"/>
    </row>
    <row r="124" spans="12:24" ht="15" customHeight="1">
      <c r="L124" s="161" t="s">
        <v>155</v>
      </c>
      <c r="M124">
        <v>0.71587318220765062</v>
      </c>
      <c r="N124">
        <v>665560</v>
      </c>
      <c r="O124">
        <v>6.5</v>
      </c>
      <c r="P124">
        <v>202.20570006449552</v>
      </c>
      <c r="Q124">
        <v>6.5675902284485388E-2</v>
      </c>
      <c r="S124" s="202" t="s">
        <v>119</v>
      </c>
      <c r="T124" s="233">
        <v>7142299.5297060786</v>
      </c>
      <c r="U124" s="227"/>
      <c r="V124" s="227"/>
      <c r="W124" s="227"/>
      <c r="X124" s="227"/>
    </row>
    <row r="125" spans="12:24" ht="15" customHeight="1">
      <c r="L125" s="161" t="s">
        <v>139</v>
      </c>
      <c r="M125">
        <v>0.31493107178039881</v>
      </c>
      <c r="N125">
        <v>2488838</v>
      </c>
      <c r="O125">
        <v>3.8</v>
      </c>
      <c r="P125">
        <v>193.98379846474327</v>
      </c>
      <c r="Q125">
        <v>6.3005449345296477E-2</v>
      </c>
      <c r="S125" s="202" t="s">
        <v>90</v>
      </c>
      <c r="T125" s="233">
        <v>6748530.5015122844</v>
      </c>
      <c r="U125" s="227"/>
      <c r="V125" s="227"/>
      <c r="W125" s="227"/>
      <c r="X125" s="227"/>
    </row>
    <row r="126" spans="12:24" ht="15" customHeight="1">
      <c r="L126" s="203" t="s">
        <v>146</v>
      </c>
      <c r="M126">
        <v>0.67242459669910182</v>
      </c>
      <c r="N126">
        <v>319690</v>
      </c>
      <c r="O126">
        <v>5.2</v>
      </c>
      <c r="P126">
        <v>55.155707743779843</v>
      </c>
      <c r="Q126">
        <v>1.791443500878916E-2</v>
      </c>
      <c r="S126" s="202" t="s">
        <v>136</v>
      </c>
      <c r="T126" s="233">
        <v>6522271.077115545</v>
      </c>
      <c r="U126" s="147"/>
      <c r="V126" s="147"/>
      <c r="W126" s="147"/>
      <c r="X126" s="147"/>
    </row>
    <row r="127" spans="12:24" ht="15" customHeight="1">
      <c r="L127" s="161" t="s">
        <v>61</v>
      </c>
      <c r="M127">
        <v>1.8503283090832184E-2</v>
      </c>
      <c r="N127">
        <v>6910650</v>
      </c>
      <c r="O127">
        <v>3.5</v>
      </c>
      <c r="P127">
        <v>199.52773530186911</v>
      </c>
      <c r="Q127">
        <v>6.4806106071938221E-2</v>
      </c>
      <c r="S127" s="203" t="s">
        <v>146</v>
      </c>
      <c r="T127" s="233">
        <v>6270052.253076206</v>
      </c>
      <c r="U127" s="147"/>
      <c r="V127" s="147"/>
      <c r="W127" s="147"/>
      <c r="X127" s="147"/>
    </row>
    <row r="128" spans="12:24" ht="15" customHeight="1">
      <c r="S128" s="202" t="s">
        <v>161</v>
      </c>
      <c r="T128" s="233">
        <v>6208872.8168718675</v>
      </c>
      <c r="U128" s="147"/>
      <c r="V128" s="147"/>
      <c r="W128" s="147"/>
      <c r="X128" s="147"/>
    </row>
    <row r="129" spans="19:24" ht="15" customHeight="1">
      <c r="S129" s="147"/>
      <c r="T129" s="147"/>
      <c r="U129" s="147"/>
      <c r="V129" s="147"/>
      <c r="W129" s="147"/>
      <c r="X129" s="147"/>
    </row>
    <row r="130" spans="19:24" ht="15" customHeight="1">
      <c r="S130" s="147"/>
      <c r="T130" s="229"/>
      <c r="U130" s="230"/>
      <c r="V130" s="147"/>
      <c r="W130" s="147"/>
      <c r="X130" s="147"/>
    </row>
    <row r="131" spans="19:24" ht="15" customHeight="1">
      <c r="S131" s="147"/>
      <c r="T131" s="229"/>
      <c r="U131" s="230"/>
      <c r="V131" s="147"/>
      <c r="W131" s="147"/>
      <c r="X131" s="147"/>
    </row>
    <row r="132" spans="19:24" ht="15" customHeight="1">
      <c r="S132" s="147"/>
      <c r="T132" s="229"/>
      <c r="U132" s="230"/>
      <c r="V132" s="147"/>
      <c r="W132" s="147"/>
      <c r="X132" s="147"/>
    </row>
    <row r="133" spans="19:24" ht="15" customHeight="1">
      <c r="S133" s="147"/>
      <c r="T133" s="229"/>
      <c r="U133" s="230"/>
      <c r="V133" s="147"/>
      <c r="W133" s="147"/>
      <c r="X133" s="147"/>
    </row>
    <row r="134" spans="19:24" ht="15" customHeight="1">
      <c r="S134" s="147"/>
      <c r="T134" s="229"/>
      <c r="U134" s="230"/>
      <c r="V134" s="147"/>
      <c r="W134" s="147"/>
      <c r="X134" s="147"/>
    </row>
    <row r="135" spans="19:24" ht="15" customHeight="1">
      <c r="S135" s="147"/>
      <c r="T135" s="229"/>
      <c r="U135" s="230"/>
      <c r="V135" s="147"/>
      <c r="W135" s="147"/>
      <c r="X135" s="147"/>
    </row>
    <row r="136" spans="19:24" ht="15" customHeight="1">
      <c r="S136" s="147"/>
      <c r="T136" s="229"/>
      <c r="U136" s="230"/>
      <c r="V136" s="147"/>
      <c r="W136" s="147"/>
      <c r="X136" s="147"/>
    </row>
    <row r="137" spans="19:24" ht="15" customHeight="1">
      <c r="S137" s="147"/>
      <c r="T137" s="229"/>
      <c r="U137" s="230"/>
      <c r="V137" s="147"/>
      <c r="W137" s="147"/>
      <c r="X137" s="147"/>
    </row>
    <row r="138" spans="19:24" ht="15" customHeight="1">
      <c r="S138" s="147"/>
      <c r="T138" s="229"/>
      <c r="U138" s="230"/>
      <c r="V138" s="147"/>
      <c r="W138" s="147"/>
      <c r="X138" s="147"/>
    </row>
    <row r="139" spans="19:24" ht="15" customHeight="1">
      <c r="S139" s="147"/>
      <c r="T139" s="229"/>
      <c r="U139" s="230"/>
      <c r="V139" s="147"/>
      <c r="W139" s="147"/>
      <c r="X139" s="147"/>
    </row>
    <row r="140" spans="19:24" ht="15" customHeight="1">
      <c r="S140" s="147"/>
      <c r="T140" s="229"/>
      <c r="U140" s="230"/>
      <c r="V140" s="147"/>
      <c r="W140" s="147"/>
      <c r="X140" s="147"/>
    </row>
    <row r="141" spans="19:24" ht="15" customHeight="1">
      <c r="S141" s="147"/>
      <c r="T141" s="229"/>
      <c r="U141" s="230"/>
      <c r="V141" s="147"/>
      <c r="W141" s="147"/>
      <c r="X141" s="147"/>
    </row>
    <row r="142" spans="19:24" ht="15" customHeight="1">
      <c r="S142" s="147"/>
      <c r="T142" s="229"/>
      <c r="U142" s="230"/>
      <c r="V142" s="147"/>
      <c r="W142" s="147"/>
      <c r="X142" s="147"/>
    </row>
    <row r="143" spans="19:24" ht="15" customHeight="1">
      <c r="S143" s="147"/>
      <c r="T143" s="229"/>
      <c r="U143" s="230"/>
      <c r="V143" s="147"/>
      <c r="W143" s="147"/>
      <c r="X143" s="147"/>
    </row>
    <row r="144" spans="19:24" ht="15" customHeight="1">
      <c r="S144" s="147"/>
      <c r="T144" s="229"/>
      <c r="U144" s="230"/>
      <c r="V144" s="147"/>
      <c r="W144" s="147"/>
      <c r="X144" s="147"/>
    </row>
    <row r="145" spans="19:24" ht="15" customHeight="1">
      <c r="S145" s="147"/>
      <c r="T145" s="229"/>
      <c r="U145" s="230"/>
      <c r="V145" s="147"/>
      <c r="W145" s="147"/>
      <c r="X145" s="147"/>
    </row>
    <row r="146" spans="19:24" ht="15" customHeight="1">
      <c r="S146" s="147"/>
      <c r="T146" s="229"/>
      <c r="U146" s="230"/>
      <c r="V146" s="147"/>
      <c r="W146" s="147"/>
      <c r="X146" s="147"/>
    </row>
    <row r="147" spans="19:24" ht="15" customHeight="1">
      <c r="S147" s="147"/>
      <c r="T147" s="229"/>
      <c r="U147" s="230"/>
      <c r="V147" s="147"/>
      <c r="W147" s="147"/>
      <c r="X147" s="147"/>
    </row>
    <row r="148" spans="19:24" ht="15" customHeight="1">
      <c r="S148" s="147"/>
      <c r="T148" s="229"/>
      <c r="U148" s="230"/>
      <c r="V148" s="147"/>
      <c r="W148" s="147"/>
      <c r="X148" s="147"/>
    </row>
    <row r="149" spans="19:24" ht="15" customHeight="1">
      <c r="S149" s="147"/>
      <c r="T149" s="229"/>
      <c r="U149" s="230"/>
      <c r="V149" s="147"/>
      <c r="W149" s="147"/>
      <c r="X149" s="147"/>
    </row>
    <row r="150" spans="19:24" ht="15" customHeight="1">
      <c r="S150" s="147"/>
      <c r="T150" s="229"/>
      <c r="U150" s="230"/>
      <c r="V150" s="147"/>
      <c r="W150" s="147"/>
      <c r="X150" s="147"/>
    </row>
    <row r="151" spans="19:24" ht="15" customHeight="1">
      <c r="S151" s="147"/>
      <c r="T151" s="229"/>
      <c r="U151" s="230"/>
      <c r="V151" s="147"/>
      <c r="W151" s="147"/>
      <c r="X151" s="147"/>
    </row>
    <row r="152" spans="19:24" ht="15" customHeight="1">
      <c r="S152" s="147"/>
      <c r="T152" s="229"/>
      <c r="U152" s="230"/>
      <c r="V152" s="147"/>
      <c r="W152" s="147"/>
      <c r="X152" s="147"/>
    </row>
    <row r="153" spans="19:24" ht="15" customHeight="1">
      <c r="S153" s="147"/>
      <c r="T153" s="229"/>
      <c r="U153" s="230"/>
      <c r="V153" s="147"/>
      <c r="W153" s="147"/>
      <c r="X153" s="147"/>
    </row>
    <row r="154" spans="19:24" ht="15" customHeight="1">
      <c r="S154" s="147"/>
      <c r="T154" s="229"/>
      <c r="U154" s="230"/>
      <c r="V154" s="147"/>
      <c r="W154" s="147"/>
      <c r="X154" s="147"/>
    </row>
    <row r="155" spans="19:24" ht="15" customHeight="1">
      <c r="S155" s="147"/>
      <c r="T155" s="229"/>
      <c r="U155" s="230"/>
      <c r="V155" s="147"/>
      <c r="W155" s="147"/>
      <c r="X155" s="147"/>
    </row>
    <row r="156" spans="19:24" ht="15" customHeight="1">
      <c r="S156" s="147"/>
      <c r="T156" s="147"/>
      <c r="U156" s="147"/>
      <c r="V156" s="147"/>
      <c r="W156" s="147"/>
      <c r="X156" s="147"/>
    </row>
    <row r="157" spans="19:24" ht="15" customHeight="1">
      <c r="S157" s="147"/>
      <c r="T157" s="147"/>
      <c r="U157" s="147"/>
      <c r="V157" s="147"/>
      <c r="W157" s="147"/>
      <c r="X157" s="147"/>
    </row>
    <row r="158" spans="19:24" ht="15" customHeight="1">
      <c r="S158" s="147"/>
      <c r="T158" s="147"/>
      <c r="U158" s="147"/>
      <c r="V158" s="147"/>
      <c r="W158" s="147"/>
      <c r="X158" s="147"/>
    </row>
    <row r="159" spans="19:24" ht="15" customHeight="1">
      <c r="S159" s="147"/>
      <c r="T159" s="230"/>
      <c r="U159" s="230"/>
      <c r="V159" s="147"/>
      <c r="W159" s="147"/>
      <c r="X159" s="147"/>
    </row>
    <row r="160" spans="19:24" ht="15" customHeight="1">
      <c r="S160" s="147"/>
      <c r="T160" s="230"/>
      <c r="U160" s="230"/>
      <c r="V160" s="147"/>
      <c r="W160" s="147"/>
      <c r="X160" s="147"/>
    </row>
    <row r="161" spans="19:24" ht="15" customHeight="1">
      <c r="S161" s="147"/>
      <c r="T161" s="230"/>
      <c r="U161" s="230"/>
      <c r="V161" s="147"/>
      <c r="W161" s="147"/>
      <c r="X161" s="147"/>
    </row>
    <row r="162" spans="19:24" ht="15" customHeight="1">
      <c r="S162" s="147"/>
      <c r="T162" s="230"/>
      <c r="U162" s="230"/>
      <c r="V162" s="147"/>
      <c r="W162" s="147"/>
      <c r="X162" s="147"/>
    </row>
    <row r="163" spans="19:24" ht="15" customHeight="1">
      <c r="S163" s="147"/>
      <c r="T163" s="230"/>
      <c r="U163" s="230"/>
      <c r="V163" s="147"/>
      <c r="W163" s="147"/>
      <c r="X163" s="147"/>
    </row>
    <row r="164" spans="19:24" ht="15" customHeight="1">
      <c r="S164" s="147"/>
      <c r="T164" s="230"/>
      <c r="U164" s="230"/>
      <c r="V164" s="147"/>
      <c r="W164" s="147"/>
      <c r="X164" s="147"/>
    </row>
    <row r="165" spans="19:24" ht="15" customHeight="1">
      <c r="S165" s="147"/>
      <c r="T165" s="230"/>
      <c r="U165" s="230"/>
      <c r="V165" s="147"/>
      <c r="W165" s="147"/>
      <c r="X165" s="147"/>
    </row>
    <row r="166" spans="19:24" ht="15" customHeight="1">
      <c r="S166" s="147"/>
      <c r="T166" s="230"/>
      <c r="U166" s="230"/>
      <c r="V166" s="147"/>
      <c r="W166" s="147"/>
      <c r="X166" s="147"/>
    </row>
    <row r="167" spans="19:24" ht="15" customHeight="1">
      <c r="S167" s="147"/>
      <c r="T167" s="230"/>
      <c r="U167" s="230"/>
      <c r="V167" s="147"/>
      <c r="W167" s="147"/>
      <c r="X167" s="147"/>
    </row>
    <row r="168" spans="19:24" ht="15" customHeight="1">
      <c r="S168" s="147"/>
      <c r="T168" s="230"/>
      <c r="U168" s="230"/>
      <c r="V168" s="147"/>
      <c r="W168" s="147"/>
      <c r="X168" s="147"/>
    </row>
    <row r="169" spans="19:24" ht="15" customHeight="1">
      <c r="S169" s="147"/>
      <c r="T169" s="230"/>
      <c r="U169" s="230"/>
      <c r="V169" s="147"/>
      <c r="W169" s="147"/>
      <c r="X169" s="147"/>
    </row>
    <row r="170" spans="19:24" ht="15" customHeight="1">
      <c r="S170" s="147"/>
      <c r="T170" s="230"/>
      <c r="U170" s="230"/>
      <c r="V170" s="147"/>
      <c r="W170" s="147"/>
      <c r="X170" s="147"/>
    </row>
    <row r="171" spans="19:24" ht="15" customHeight="1">
      <c r="S171" s="147"/>
      <c r="T171" s="230"/>
      <c r="U171" s="230"/>
      <c r="V171" s="147"/>
      <c r="W171" s="147"/>
      <c r="X171" s="147"/>
    </row>
    <row r="172" spans="19:24" ht="15" customHeight="1">
      <c r="S172" s="147"/>
      <c r="T172" s="230"/>
      <c r="U172" s="230"/>
      <c r="V172" s="147"/>
      <c r="W172" s="147"/>
      <c r="X172" s="147"/>
    </row>
    <row r="173" spans="19:24" ht="15" customHeight="1">
      <c r="S173" s="147"/>
      <c r="T173" s="230"/>
      <c r="U173" s="230"/>
      <c r="V173" s="147"/>
      <c r="W173" s="147"/>
      <c r="X173" s="147"/>
    </row>
    <row r="174" spans="19:24" ht="15" customHeight="1">
      <c r="S174" s="147"/>
      <c r="T174" s="230"/>
      <c r="U174" s="230"/>
      <c r="V174" s="147"/>
      <c r="W174" s="147"/>
      <c r="X174" s="147"/>
    </row>
    <row r="175" spans="19:24" ht="15" customHeight="1">
      <c r="S175" s="147"/>
      <c r="T175" s="230"/>
      <c r="U175" s="230"/>
      <c r="V175" s="147"/>
      <c r="W175" s="147"/>
      <c r="X175" s="147"/>
    </row>
    <row r="176" spans="19:24" ht="15" customHeight="1">
      <c r="S176" s="147"/>
      <c r="T176" s="230"/>
      <c r="U176" s="230"/>
      <c r="V176" s="147"/>
      <c r="W176" s="147"/>
      <c r="X176" s="147"/>
    </row>
    <row r="177" spans="19:24" ht="15" customHeight="1">
      <c r="S177" s="147"/>
      <c r="T177" s="230"/>
      <c r="U177" s="230"/>
      <c r="V177" s="147"/>
      <c r="W177" s="147"/>
      <c r="X177" s="147"/>
    </row>
    <row r="178" spans="19:24" ht="15" customHeight="1">
      <c r="S178" s="147"/>
      <c r="T178" s="230"/>
      <c r="U178" s="230"/>
      <c r="V178" s="147"/>
      <c r="W178" s="147"/>
      <c r="X178" s="147"/>
    </row>
    <row r="179" spans="19:24" ht="15" customHeight="1">
      <c r="S179" s="147"/>
      <c r="T179" s="230"/>
      <c r="U179" s="230"/>
      <c r="V179" s="147"/>
      <c r="W179" s="147"/>
      <c r="X179" s="147"/>
    </row>
    <row r="180" spans="19:24" ht="15" customHeight="1">
      <c r="S180" s="147"/>
      <c r="T180" s="230"/>
      <c r="U180" s="230"/>
      <c r="V180" s="147"/>
      <c r="W180" s="147"/>
      <c r="X180" s="147"/>
    </row>
    <row r="181" spans="19:24" ht="15" customHeight="1">
      <c r="S181" s="147"/>
      <c r="T181" s="230"/>
      <c r="U181" s="230"/>
      <c r="V181" s="147"/>
      <c r="W181" s="147"/>
      <c r="X181" s="147"/>
    </row>
    <row r="182" spans="19:24" ht="15" customHeight="1">
      <c r="S182" s="147"/>
      <c r="T182" s="230"/>
      <c r="U182" s="230"/>
      <c r="V182" s="147"/>
      <c r="W182" s="147"/>
      <c r="X182" s="147"/>
    </row>
    <row r="183" spans="19:24" ht="15" customHeight="1">
      <c r="S183" s="147"/>
      <c r="T183" s="230"/>
      <c r="U183" s="230"/>
      <c r="V183" s="147"/>
      <c r="W183" s="147"/>
      <c r="X183" s="147"/>
    </row>
    <row r="184" spans="19:24" ht="15" customHeight="1">
      <c r="S184" s="147"/>
      <c r="T184" s="230"/>
      <c r="U184" s="230"/>
      <c r="V184" s="147"/>
      <c r="W184" s="147"/>
      <c r="X184" s="147"/>
    </row>
    <row r="185" spans="19:24" ht="15" customHeight="1">
      <c r="S185" s="147"/>
      <c r="T185" s="147"/>
      <c r="U185" s="147"/>
      <c r="V185" s="147"/>
      <c r="W185" s="147"/>
      <c r="X185" s="147"/>
    </row>
    <row r="186" spans="19:24" ht="15" customHeight="1">
      <c r="S186" s="147"/>
      <c r="T186" s="147"/>
      <c r="U186" s="147"/>
      <c r="V186" s="147"/>
      <c r="W186" s="147"/>
      <c r="X186" s="147"/>
    </row>
    <row r="187" spans="19:24" ht="15" customHeight="1">
      <c r="S187" s="147"/>
      <c r="T187" s="147"/>
      <c r="U187" s="147"/>
      <c r="V187" s="147"/>
      <c r="W187" s="147"/>
      <c r="X187" s="147"/>
    </row>
    <row r="188" spans="19:24" ht="15" customHeight="1">
      <c r="S188" s="147"/>
      <c r="T188" s="147"/>
      <c r="U188" s="147"/>
      <c r="V188" s="147"/>
      <c r="W188" s="147"/>
      <c r="X188" s="147"/>
    </row>
  </sheetData>
  <sortState xmlns:xlrd2="http://schemas.microsoft.com/office/spreadsheetml/2017/richdata2" ref="S103:T128">
    <sortCondition descending="1" ref="T103:T128"/>
  </sortState>
  <mergeCells count="1">
    <mergeCell ref="M1:N1"/>
  </mergeCells>
  <conditionalFormatting sqref="M37:V62">
    <cfRule type="colorScale" priority="14">
      <colorScale>
        <cfvo type="min"/>
        <cfvo type="percentile" val="50"/>
        <cfvo type="max"/>
        <color theme="9" tint="0.79998168889431442"/>
        <color theme="9" tint="0.39997558519241921"/>
        <color rgb="FF63BE7B"/>
      </colorScale>
    </cfRule>
  </conditionalFormatting>
  <conditionalFormatting sqref="X3:X2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2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{4CDEBFD0-86BD-FA45-95B8-C2CCEB0DED20}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DEBFD0-86BD-FA45-95B8-C2CCEB0DE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CE19-F4F4-1948-822E-3227604BD617}">
  <sheetPr>
    <tabColor rgb="FF00B050"/>
  </sheetPr>
  <dimension ref="C4:S64"/>
  <sheetViews>
    <sheetView topLeftCell="D3" workbookViewId="0">
      <selection activeCell="C18" sqref="C18"/>
    </sheetView>
  </sheetViews>
  <sheetFormatPr baseColWidth="10" defaultRowHeight="15"/>
  <cols>
    <col min="1" max="3" width="10.83203125" style="40"/>
    <col min="4" max="17" width="17.33203125" style="40" customWidth="1"/>
    <col min="18" max="16384" width="10.83203125" style="40"/>
  </cols>
  <sheetData>
    <row r="4" spans="3:19" s="94" customFormat="1" ht="48">
      <c r="C4" s="145" t="str">
        <f>'Country Decoder - Final 2503205'!K36</f>
        <v>Tier</v>
      </c>
      <c r="D4" s="145" t="str">
        <f>'Country Decoder - Final 2503205'!L36</f>
        <v>Country</v>
      </c>
      <c r="E4" s="145" t="str">
        <f>'Country Decoder - Final 2503205'!M36</f>
        <v>Spends Per Trip Index</v>
      </c>
      <c r="F4" s="145" t="str">
        <f>'Country Decoder - Final 2503205'!N36</f>
        <v>Tourist Departures / Population Index</v>
      </c>
      <c r="G4" s="145" t="str">
        <f>'Country Decoder - Final 2503205'!O36</f>
        <v>Search Volume  - 'Flight to Abu Dhabi' Index</v>
      </c>
      <c r="H4" s="145" t="str">
        <f>'Country Decoder - Final 2503205'!P36</f>
        <v>GDP - Growth Index</v>
      </c>
      <c r="I4" s="145" t="str">
        <f>'Country Decoder - Final 2503205'!Q36</f>
        <v>Disposable Personal Income (USD) Index</v>
      </c>
      <c r="J4" s="145" t="str">
        <f>'Country Decoder - Final 2503205'!R36</f>
        <v>Media Cost Index</v>
      </c>
      <c r="K4" s="145" t="str">
        <f>'Country Decoder - Final 2503205'!S36</f>
        <v>Global Explorers (Audience M) Index</v>
      </c>
      <c r="L4" s="145" t="str">
        <f>'Country Decoder - Final 2503205'!T36</f>
        <v>Budget Split Index</v>
      </c>
      <c r="M4" s="145" t="str">
        <f>'Country Decoder - Final 2503205'!U36</f>
        <v>Market Tiering Index</v>
      </c>
      <c r="N4" s="145" t="str">
        <f>'Country Decoder - Final 2503205'!V36</f>
        <v>Audience Ratio vs. Total Population  Index</v>
      </c>
      <c r="O4" s="145" t="str">
        <f>'Country Decoder - Final 2503205'!X2</f>
        <v>Weighted Score</v>
      </c>
      <c r="P4" s="145" t="str">
        <f>'Country Decoder - Final 2503205'!Y2</f>
        <v>% Split</v>
      </c>
      <c r="Q4" s="145" t="str">
        <f>'Country Decoder - Final 2503205'!Z2</f>
        <v>Budget Split</v>
      </c>
      <c r="S4" s="40" t="s">
        <v>692</v>
      </c>
    </row>
    <row r="5" spans="3:19">
      <c r="C5" s="40" t="str">
        <f>'Country Decoder - Final 2503205'!K37</f>
        <v>Tier 1</v>
      </c>
      <c r="D5" s="40" t="str">
        <f>'Country Decoder - Final 2503205'!L37</f>
        <v>UAE</v>
      </c>
      <c r="E5" s="231">
        <f>'Country Decoder - Final 2503205'!M37</f>
        <v>0.81422715129688372</v>
      </c>
      <c r="F5" s="231">
        <f>'Country Decoder - Final 2503205'!N37</f>
        <v>0.96867420498287937</v>
      </c>
      <c r="G5" s="231">
        <f>'Country Decoder - Final 2503205'!O37</f>
        <v>0.99999826846005035</v>
      </c>
      <c r="H5" s="231">
        <f>'Country Decoder - Final 2503205'!P37</f>
        <v>0.5056648657776468</v>
      </c>
      <c r="I5" s="231">
        <f>'Country Decoder - Final 2503205'!Q37</f>
        <v>0.78841485860456006</v>
      </c>
      <c r="J5" s="231">
        <f>'Country Decoder - Final 2503205'!R37</f>
        <v>0.73004062442264184</v>
      </c>
      <c r="K5" s="231">
        <f>'Country Decoder - Final 2503205'!S37</f>
        <v>0.41852038593399365</v>
      </c>
      <c r="L5" s="231">
        <f>'Country Decoder - Final 2503205'!T37</f>
        <v>0.99999261549825236</v>
      </c>
      <c r="M5" s="231">
        <f>'Country Decoder - Final 2503205'!U37</f>
        <v>0.32648146758823116</v>
      </c>
      <c r="N5" s="231">
        <f>'Country Decoder - Final 2503205'!V37</f>
        <v>0.83729572578810463</v>
      </c>
      <c r="O5" s="231">
        <f>'Country Decoder - Final 2503205'!X3</f>
        <v>106.74561752239512</v>
      </c>
      <c r="P5" s="40">
        <f>'Country Decoder - Final 2503205'!Y3</f>
        <v>3.4670707816158337E-2</v>
      </c>
      <c r="Q5" s="40">
        <f>'Country Decoder - Final 2503205'!Z3</f>
        <v>12134747.735655418</v>
      </c>
      <c r="S5" s="40" t="str" cm="1">
        <f t="array" ref="S5:S18">TRANSPOSE(D4:Q4)</f>
        <v>Country</v>
      </c>
    </row>
    <row r="6" spans="3:19">
      <c r="C6" s="40" t="str">
        <f>'Country Decoder - Final 2503205'!K38</f>
        <v>Tier 1</v>
      </c>
      <c r="D6" s="40" t="str">
        <f>'Country Decoder - Final 2503205'!L38</f>
        <v>USA</v>
      </c>
      <c r="E6" s="231">
        <f>'Country Decoder - Final 2503205'!M38</f>
        <v>0.99799751467797948</v>
      </c>
      <c r="F6" s="231">
        <f>'Country Decoder - Final 2503205'!N38</f>
        <v>0.24788984316627044</v>
      </c>
      <c r="G6" s="231">
        <f>'Country Decoder - Final 2503205'!O38</f>
        <v>0.73717013498489337</v>
      </c>
      <c r="H6" s="231">
        <f>'Country Decoder - Final 2503205'!P38</f>
        <v>0.69988111695725286</v>
      </c>
      <c r="I6" s="231">
        <f>'Country Decoder - Final 2503205'!Q38</f>
        <v>0.9907024261317694</v>
      </c>
      <c r="J6" s="231">
        <f>'Country Decoder - Final 2503205'!R38</f>
        <v>0.98552341491133066</v>
      </c>
      <c r="K6" s="231">
        <f>'Country Decoder - Final 2503205'!S38</f>
        <v>0.54466255845509759</v>
      </c>
      <c r="L6" s="231">
        <f>'Country Decoder - Final 2503205'!T38</f>
        <v>0.58368208003951216</v>
      </c>
      <c r="M6" s="231">
        <f>'Country Decoder - Final 2503205'!U38</f>
        <v>0.91021146539869535</v>
      </c>
      <c r="N6" s="231">
        <f>'Country Decoder - Final 2503205'!V38</f>
        <v>0.29759889523055544</v>
      </c>
      <c r="O6" s="231">
        <f>'Country Decoder - Final 2503205'!X4</f>
        <v>223.84195969697979</v>
      </c>
      <c r="P6" s="40">
        <f>'Country Decoder - Final 2503205'!Y4</f>
        <v>7.2703304939166019E-2</v>
      </c>
      <c r="Q6" s="40">
        <f>'Country Decoder - Final 2503205'!Z4</f>
        <v>25446156.728708107</v>
      </c>
      <c r="S6" s="40" t="str">
        <v>Spends Per Trip Index</v>
      </c>
    </row>
    <row r="7" spans="3:19">
      <c r="C7" s="40" t="str">
        <f>'Country Decoder - Final 2503205'!K39</f>
        <v>Tier 1</v>
      </c>
      <c r="D7" s="40" t="str">
        <f>'Country Decoder - Final 2503205'!L39</f>
        <v>UK</v>
      </c>
      <c r="E7" s="231">
        <f>'Country Decoder - Final 2503205'!M39</f>
        <v>0.83535600950523758</v>
      </c>
      <c r="F7" s="231">
        <f>'Country Decoder - Final 2503205'!N39</f>
        <v>0.8751938229787446</v>
      </c>
      <c r="G7" s="231">
        <f>'Country Decoder - Final 2503205'!O39</f>
        <v>0.6271556207490212</v>
      </c>
      <c r="H7" s="231">
        <f>'Country Decoder - Final 2503205'!P39</f>
        <v>0.75761730879535794</v>
      </c>
      <c r="I7" s="231">
        <f>'Country Decoder - Final 2503205'!Q39</f>
        <v>0.78944125289433775</v>
      </c>
      <c r="J7" s="231">
        <f>'Country Decoder - Final 2503205'!R39</f>
        <v>0.89414785444377365</v>
      </c>
      <c r="K7" s="231">
        <f>'Country Decoder - Final 2503205'!S39</f>
        <v>0.44112352172088848</v>
      </c>
      <c r="L7" s="231">
        <f>'Country Decoder - Final 2503205'!T39</f>
        <v>0.60498282418382177</v>
      </c>
      <c r="M7" s="231">
        <f>'Country Decoder - Final 2503205'!U39</f>
        <v>0.91021146539869535</v>
      </c>
      <c r="N7" s="231">
        <f>'Country Decoder - Final 2503205'!V39</f>
        <v>0.37317589387378924</v>
      </c>
      <c r="O7" s="231">
        <f>'Country Decoder - Final 2503205'!X5</f>
        <v>220.459483107533</v>
      </c>
      <c r="P7" s="40">
        <f>'Country Decoder - Final 2503205'!Y5</f>
        <v>7.1604685059028075E-2</v>
      </c>
      <c r="Q7" s="40">
        <f>'Country Decoder - Final 2503205'!Z5</f>
        <v>25061639.770659827</v>
      </c>
      <c r="S7" s="40" t="str">
        <v>Tourist Departures / Population Index</v>
      </c>
    </row>
    <row r="8" spans="3:19">
      <c r="C8" s="40" t="str">
        <f>'Country Decoder - Final 2503205'!K40</f>
        <v>Tier 1</v>
      </c>
      <c r="D8" s="40" t="str">
        <f>'Country Decoder - Final 2503205'!L40</f>
        <v>Germany</v>
      </c>
      <c r="E8" s="231">
        <f>'Country Decoder - Final 2503205'!M40</f>
        <v>0.59926380505224686</v>
      </c>
      <c r="F8" s="231">
        <f>'Country Decoder - Final 2503205'!N40</f>
        <v>0.79737301344888045</v>
      </c>
      <c r="G8" s="231">
        <f>'Country Decoder - Final 2503205'!O40</f>
        <v>0.5179035262084446</v>
      </c>
      <c r="H8" s="231">
        <f>'Country Decoder - Final 2503205'!P40</f>
        <v>0.48025662443799666</v>
      </c>
      <c r="I8" s="231">
        <f>'Country Decoder - Final 2503205'!Q40</f>
        <v>0.88481922656338963</v>
      </c>
      <c r="J8" s="231">
        <f>'Country Decoder - Final 2503205'!R40</f>
        <v>0.69171173816824461</v>
      </c>
      <c r="K8" s="231">
        <f>'Country Decoder - Final 2503205'!S40</f>
        <v>0.42884031100615938</v>
      </c>
      <c r="L8" s="231">
        <f>'Country Decoder - Final 2503205'!T40</f>
        <v>0.38852257824955788</v>
      </c>
      <c r="M8" s="231">
        <f>'Country Decoder - Final 2503205'!U40</f>
        <v>0.91021146539869535</v>
      </c>
      <c r="N8" s="231">
        <f>'Country Decoder - Final 2503205'!V40</f>
        <v>0.33705654480039743</v>
      </c>
      <c r="O8" s="231">
        <f>'Country Decoder - Final 2503205'!X6</f>
        <v>211.90058304596513</v>
      </c>
      <c r="P8" s="40">
        <f>'Country Decoder - Final 2503205'!Y6</f>
        <v>6.8824775867907764E-2</v>
      </c>
      <c r="Q8" s="40">
        <f>'Country Decoder - Final 2503205'!Z6</f>
        <v>24088671.553767718</v>
      </c>
      <c r="S8" s="40" t="str">
        <v>Search Volume  - 'Flight to Abu Dhabi' Index</v>
      </c>
    </row>
    <row r="9" spans="3:19">
      <c r="C9" s="40" t="str">
        <f>'Country Decoder - Final 2503205'!K41</f>
        <v>Tier 1</v>
      </c>
      <c r="D9" s="40" t="str">
        <f>'Country Decoder - Final 2503205'!L41</f>
        <v>France</v>
      </c>
      <c r="E9" s="231">
        <f>'Country Decoder - Final 2503205'!M41</f>
        <v>0.81174905857332424</v>
      </c>
      <c r="F9" s="231">
        <f>'Country Decoder - Final 2503205'!N41</f>
        <v>0.4421324280966708</v>
      </c>
      <c r="G9" s="231">
        <f>'Country Decoder - Final 2503205'!O41</f>
        <v>0.50093585368183191</v>
      </c>
      <c r="H9" s="231">
        <f>'Country Decoder - Final 2503205'!P41</f>
        <v>0.4550832076344451</v>
      </c>
      <c r="I9" s="231">
        <f>'Country Decoder - Final 2503205'!Q41</f>
        <v>0.7695773526096612</v>
      </c>
      <c r="J9" s="231">
        <f>'Country Decoder - Final 2503205'!R41</f>
        <v>0.6231111223999517</v>
      </c>
      <c r="K9" s="231">
        <f>'Country Decoder - Final 2503205'!S41</f>
        <v>0.41539387788687387</v>
      </c>
      <c r="L9" s="231">
        <f>'Country Decoder - Final 2503205'!T41</f>
        <v>0.38852257824955788</v>
      </c>
      <c r="M9" s="231">
        <f>'Country Decoder - Final 2503205'!U41</f>
        <v>0.91021146539869535</v>
      </c>
      <c r="N9" s="231">
        <f>'Country Decoder - Final 2503205'!V41</f>
        <v>0.34197668048073848</v>
      </c>
      <c r="O9" s="231">
        <f>'Country Decoder - Final 2503205'!X7</f>
        <v>210.7512149090214</v>
      </c>
      <c r="P9" s="40">
        <f>'Country Decoder - Final 2503205'!Y7</f>
        <v>6.8451463990810632E-2</v>
      </c>
      <c r="Q9" s="40">
        <f>'Country Decoder - Final 2503205'!Z7</f>
        <v>23958012.396783721</v>
      </c>
      <c r="S9" s="40" t="str">
        <v>GDP - Growth Index</v>
      </c>
    </row>
    <row r="10" spans="3:19">
      <c r="C10" s="40" t="str">
        <f>'Country Decoder - Final 2503205'!K42</f>
        <v>Tier 2</v>
      </c>
      <c r="D10" s="40" t="str">
        <f>'Country Decoder - Final 2503205'!L42</f>
        <v>Egypt</v>
      </c>
      <c r="E10" s="231">
        <f>'Country Decoder - Final 2503205'!M42</f>
        <v>8.465334290677301E-2</v>
      </c>
      <c r="F10" s="231">
        <f>'Country Decoder - Final 2503205'!N42</f>
        <v>0.17240985556865748</v>
      </c>
      <c r="G10" s="231">
        <f>'Country Decoder - Final 2503205'!O42</f>
        <v>0.35330545377409794</v>
      </c>
      <c r="H10" s="231">
        <f>'Country Decoder - Final 2503205'!P42</f>
        <v>7.4158207710434262E-3</v>
      </c>
      <c r="I10" s="231">
        <f>'Country Decoder - Final 2503205'!Q42</f>
        <v>9.4452751393295883E-2</v>
      </c>
      <c r="J10" s="231">
        <f>'Country Decoder - Final 2503205'!R42</f>
        <v>0.13395493014164964</v>
      </c>
      <c r="K10" s="231">
        <f>'Country Decoder - Final 2503205'!S42</f>
        <v>0.44053092607356398</v>
      </c>
      <c r="L10" s="231">
        <f>'Country Decoder - Final 2503205'!T42</f>
        <v>0.26999290200934667</v>
      </c>
      <c r="M10" s="231">
        <f>'Country Decoder - Final 2503205'!U42</f>
        <v>0.25027857168592754</v>
      </c>
      <c r="N10" s="231">
        <f>'Country Decoder - Final 2503205'!V42</f>
        <v>0.32022536777788735</v>
      </c>
      <c r="O10" s="231">
        <f>'Country Decoder - Final 2503205'!X8</f>
        <v>59.364732703587514</v>
      </c>
      <c r="P10" s="40">
        <f>'Country Decoder - Final 2503205'!Y8</f>
        <v>1.9281515718606528E-2</v>
      </c>
      <c r="Q10" s="40">
        <f>'Country Decoder - Final 2503205'!Z8</f>
        <v>6748530.5015122844</v>
      </c>
      <c r="S10" s="40" t="str">
        <v>Disposable Personal Income (USD) Index</v>
      </c>
    </row>
    <row r="11" spans="3:19">
      <c r="C11" s="40" t="str">
        <f>'Country Decoder - Final 2503205'!K43</f>
        <v>Tier 2</v>
      </c>
      <c r="D11" s="40" t="str">
        <f>'Country Decoder - Final 2503205'!L43</f>
        <v>Khazakstan</v>
      </c>
      <c r="E11" s="231">
        <f>'Country Decoder - Final 2503205'!M43</f>
        <v>0.18608978482975522</v>
      </c>
      <c r="F11" s="231">
        <f>'Country Decoder - Final 2503205'!N43</f>
        <v>0.27146644633801698</v>
      </c>
      <c r="G11" s="231">
        <f>'Country Decoder - Final 2503205'!O43</f>
        <v>0.33874554485449088</v>
      </c>
      <c r="H11" s="231">
        <f>'Country Decoder - Final 2503205'!P43</f>
        <v>0.76888002258172383</v>
      </c>
      <c r="I11" s="231">
        <f>'Country Decoder - Final 2503205'!Q43</f>
        <v>0.20013563431977896</v>
      </c>
      <c r="J11" s="231">
        <f>'Country Decoder - Final 2503205'!R43</f>
        <v>0.10428167237058236</v>
      </c>
      <c r="K11" s="231">
        <f>'Country Decoder - Final 2503205'!S43</f>
        <v>0.37034545708051647</v>
      </c>
      <c r="L11" s="231">
        <f>'Country Decoder - Final 2503205'!T43</f>
        <v>0.68653099479928936</v>
      </c>
      <c r="M11" s="231">
        <f>'Country Decoder - Final 2503205'!U43</f>
        <v>0.25027857168592754</v>
      </c>
      <c r="N11" s="231">
        <f>'Country Decoder - Final 2503205'!V43</f>
        <v>0.35493671433279345</v>
      </c>
      <c r="O11" s="231">
        <f>'Country Decoder - Final 2503205'!X9</f>
        <v>66.696784419098236</v>
      </c>
      <c r="P11" s="40">
        <f>'Country Decoder - Final 2503205'!Y9</f>
        <v>2.1662947655782801E-2</v>
      </c>
      <c r="Q11" s="40">
        <f>'Country Decoder - Final 2503205'!Z9</f>
        <v>7582031.6795239802</v>
      </c>
      <c r="S11" s="40" t="str">
        <v>Media Cost Index</v>
      </c>
    </row>
    <row r="12" spans="3:19">
      <c r="C12" s="40" t="str">
        <f>'Country Decoder - Final 2503205'!K44</f>
        <v>Tier 2</v>
      </c>
      <c r="D12" s="40" t="str">
        <f>'Country Decoder - Final 2503205'!L44</f>
        <v>Bahrain</v>
      </c>
      <c r="E12" s="231">
        <f>'Country Decoder - Final 2503205'!M44</f>
        <v>0.55223733338307757</v>
      </c>
      <c r="F12" s="231">
        <f>'Country Decoder - Final 2503205'!N44</f>
        <v>0.8191476460674757</v>
      </c>
      <c r="G12" s="231">
        <f>'Country Decoder - Final 2503205'!O44</f>
        <v>0.34427730515100163</v>
      </c>
      <c r="H12" s="231">
        <f>'Country Decoder - Final 2503205'!P44</f>
        <v>0.48375383476607386</v>
      </c>
      <c r="I12" s="231">
        <f>'Country Decoder - Final 2503205'!Q44</f>
        <v>0.56884944423776507</v>
      </c>
      <c r="J12" s="231">
        <f>'Country Decoder - Final 2503205'!R44</f>
        <v>0.25495495127936407</v>
      </c>
      <c r="K12" s="231">
        <f>'Country Decoder - Final 2503205'!S44</f>
        <v>0.36498561506222604</v>
      </c>
      <c r="L12" s="231">
        <f>'Country Decoder - Final 2503205'!T44</f>
        <v>0.26999290200934667</v>
      </c>
      <c r="M12" s="231">
        <f>'Country Decoder - Final 2503205'!U44</f>
        <v>0.18770673748667355</v>
      </c>
      <c r="N12" s="231">
        <f>'Country Decoder - Final 2503205'!V44</f>
        <v>0.99037522603198724</v>
      </c>
      <c r="O12" s="231">
        <f>'Country Decoder - Final 2503205'!X10</f>
        <v>54.617531191652994</v>
      </c>
      <c r="P12" s="40">
        <f>'Country Decoder - Final 2503205'!Y10</f>
        <v>1.7739636619633906E-2</v>
      </c>
      <c r="Q12" s="40">
        <f>'Country Decoder - Final 2503205'!Z10</f>
        <v>6208872.8168718675</v>
      </c>
      <c r="S12" s="40" t="str">
        <v>Global Explorers (Audience M) Index</v>
      </c>
    </row>
    <row r="13" spans="3:19">
      <c r="C13" s="40" t="str">
        <f>'Country Decoder - Final 2503205'!K45</f>
        <v>Tier 2</v>
      </c>
      <c r="D13" s="40" t="str">
        <f>'Country Decoder - Final 2503205'!L45</f>
        <v>Qatar</v>
      </c>
      <c r="E13" s="231">
        <f>'Country Decoder - Final 2503205'!M45</f>
        <v>0.53642212437565262</v>
      </c>
      <c r="F13" s="231">
        <f>'Country Decoder - Final 2503205'!N45</f>
        <v>0.81725771672355418</v>
      </c>
      <c r="G13" s="231">
        <f>'Country Decoder - Final 2503205'!O45</f>
        <v>0.34833715704404999</v>
      </c>
      <c r="H13" s="231">
        <f>'Country Decoder - Final 2503205'!P45</f>
        <v>0.3760033560874142</v>
      </c>
      <c r="I13" s="231">
        <f>'Country Decoder - Final 2503205'!Q45</f>
        <v>0.36118022947201511</v>
      </c>
      <c r="J13" s="231">
        <f>'Country Decoder - Final 2503205'!R45</f>
        <v>0.40226975733440823</v>
      </c>
      <c r="K13" s="231">
        <f>'Country Decoder - Final 2503205'!S45</f>
        <v>0.38947873643224101</v>
      </c>
      <c r="L13" s="231">
        <f>'Country Decoder - Final 2503205'!T45</f>
        <v>0.84977734515928005</v>
      </c>
      <c r="M13" s="231">
        <f>'Country Decoder - Final 2503205'!U45</f>
        <v>0.18770673748667355</v>
      </c>
      <c r="N13" s="231">
        <f>'Country Decoder - Final 2503205'!V45</f>
        <v>0.99935260083009481</v>
      </c>
      <c r="O13" s="231">
        <f>'Country Decoder - Final 2503205'!X11</f>
        <v>65.091672118060487</v>
      </c>
      <c r="P13" s="40">
        <f>'Country Decoder - Final 2503205'!Y11</f>
        <v>2.1141611221622156E-2</v>
      </c>
      <c r="Q13" s="40">
        <f>'Country Decoder - Final 2503205'!Z11</f>
        <v>7399563.9275677549</v>
      </c>
      <c r="S13" s="40" t="str">
        <v>Budget Split Index</v>
      </c>
    </row>
    <row r="14" spans="3:19">
      <c r="C14" s="40" t="str">
        <f>'Country Decoder - Final 2503205'!K46</f>
        <v>Tier 2</v>
      </c>
      <c r="D14" s="40" t="str">
        <f>'Country Decoder - Final 2503205'!L46</f>
        <v>Canada</v>
      </c>
      <c r="E14" s="231">
        <f>'Country Decoder - Final 2503205'!M46</f>
        <v>0.52428772306948468</v>
      </c>
      <c r="F14" s="231">
        <f>'Country Decoder - Final 2503205'!N46</f>
        <v>0.5904157136052508</v>
      </c>
      <c r="G14" s="231">
        <f>'Country Decoder - Final 2503205'!O46</f>
        <v>0.41025372612615135</v>
      </c>
      <c r="H14" s="231">
        <f>'Country Decoder - Final 2503205'!P46</f>
        <v>0.27558155853954547</v>
      </c>
      <c r="I14" s="231">
        <f>'Country Decoder - Final 2503205'!Q46</f>
        <v>0.78004355199473152</v>
      </c>
      <c r="J14" s="231">
        <f>'Country Decoder - Final 2503205'!R46</f>
        <v>0.85584734151138386</v>
      </c>
      <c r="K14" s="231">
        <f>'Country Decoder - Final 2503205'!S46</f>
        <v>0.37111132926267343</v>
      </c>
      <c r="L14" s="231">
        <f>'Country Decoder - Final 2503205'!T46</f>
        <v>0.30750080282171721</v>
      </c>
      <c r="M14" s="231">
        <f>'Country Decoder - Final 2503205'!U46</f>
        <v>0.25027857168592754</v>
      </c>
      <c r="N14" s="231">
        <f>'Country Decoder - Final 2503205'!V46</f>
        <v>0.30055853698403295</v>
      </c>
      <c r="O14" s="231">
        <f>'Country Decoder - Final 2503205'!X12</f>
        <v>80.443354696549676</v>
      </c>
      <c r="P14" s="40">
        <f>'Country Decoder - Final 2503205'!Y12</f>
        <v>2.6127799071943417E-2</v>
      </c>
      <c r="Q14" s="40">
        <f>'Country Decoder - Final 2503205'!Z12</f>
        <v>9144729.6751801968</v>
      </c>
      <c r="S14" s="40" t="str">
        <v>Market Tiering Index</v>
      </c>
    </row>
    <row r="15" spans="3:19">
      <c r="C15" s="40" t="str">
        <f>'Country Decoder - Final 2503205'!K47</f>
        <v>Tier 2</v>
      </c>
      <c r="D15" s="40" t="str">
        <f>'Country Decoder - Final 2503205'!L47</f>
        <v>Romania</v>
      </c>
      <c r="E15" s="231">
        <f>'Country Decoder - Final 2503205'!M47</f>
        <v>0.20988414906966443</v>
      </c>
      <c r="F15" s="231">
        <f>'Country Decoder - Final 2503205'!N47</f>
        <v>0.79546913795244611</v>
      </c>
      <c r="G15" s="231">
        <f>'Country Decoder - Final 2503205'!O47</f>
        <v>0.36559305137048359</v>
      </c>
      <c r="H15" s="231">
        <f>'Country Decoder - Final 2503205'!P47</f>
        <v>0.43036255414887492</v>
      </c>
      <c r="I15" s="231">
        <f>'Country Decoder - Final 2503205'!Q47</f>
        <v>0.16510312798982274</v>
      </c>
      <c r="J15" s="231">
        <f>'Country Decoder - Final 2503205'!R47</f>
        <v>0.15970742621902018</v>
      </c>
      <c r="K15" s="231">
        <f>'Country Decoder - Final 2503205'!S47</f>
        <v>0.37020673224322487</v>
      </c>
      <c r="L15" s="231">
        <f>'Country Decoder - Final 2503205'!T47</f>
        <v>0.68653099479928936</v>
      </c>
      <c r="M15" s="231">
        <f>'Country Decoder - Final 2503205'!U47</f>
        <v>0.25027857168592754</v>
      </c>
      <c r="N15" s="231">
        <f>'Country Decoder - Final 2503205'!V47</f>
        <v>0.35978484020644863</v>
      </c>
      <c r="O15" s="231">
        <f>'Country Decoder - Final 2503205'!X13</f>
        <v>67.726058707607265</v>
      </c>
      <c r="P15" s="40">
        <f>'Country Decoder - Final 2503205'!Y13</f>
        <v>2.1997253353270511E-2</v>
      </c>
      <c r="Q15" s="40">
        <f>'Country Decoder - Final 2503205'!Z13</f>
        <v>7699038.6736446787</v>
      </c>
      <c r="S15" s="40" t="str">
        <v>Audience Ratio vs. Total Population  Index</v>
      </c>
    </row>
    <row r="16" spans="3:19">
      <c r="C16" s="40" t="str">
        <f>'Country Decoder - Final 2503205'!K48</f>
        <v>Tier 2</v>
      </c>
      <c r="D16" s="40" t="str">
        <f>'Country Decoder - Final 2503205'!L48</f>
        <v>Oman</v>
      </c>
      <c r="E16" s="231">
        <f>'Country Decoder - Final 2503205'!M48</f>
        <v>0.13262742699734989</v>
      </c>
      <c r="F16" s="231">
        <f>'Country Decoder - Final 2503205'!N48</f>
        <v>0.89594508008467322</v>
      </c>
      <c r="G16" s="231">
        <f>'Country Decoder - Final 2503205'!O48</f>
        <v>0.34648481013052468</v>
      </c>
      <c r="H16" s="231">
        <f>'Country Decoder - Final 2503205'!P48</f>
        <v>0.16828105280607364</v>
      </c>
      <c r="I16" s="231">
        <f>'Country Decoder - Final 2503205'!Q48</f>
        <v>0.34592061202584667</v>
      </c>
      <c r="J16" s="231">
        <f>'Country Decoder - Final 2503205'!R48</f>
        <v>0.18850108246518354</v>
      </c>
      <c r="K16" s="231">
        <f>'Country Decoder - Final 2503205'!S48</f>
        <v>0.35410203232858295</v>
      </c>
      <c r="L16" s="231">
        <f>'Country Decoder - Final 2503205'!T48</f>
        <v>0.7765997900936783</v>
      </c>
      <c r="M16" s="231">
        <f>'Country Decoder - Final 2503205'!U48</f>
        <v>0.18770673748667355</v>
      </c>
      <c r="N16" s="231">
        <f>'Country Decoder - Final 2503205'!V48</f>
        <v>0.38651520833478725</v>
      </c>
      <c r="O16" s="231">
        <f>'Country Decoder - Final 2503205'!X14</f>
        <v>57.374398623009512</v>
      </c>
      <c r="P16" s="40">
        <f>'Country Decoder - Final 2503205'!Y14</f>
        <v>1.8635060220330128E-2</v>
      </c>
      <c r="Q16" s="40">
        <f>'Country Decoder - Final 2503205'!Z14</f>
        <v>6522271.077115545</v>
      </c>
      <c r="S16" s="40" t="str">
        <v>Weighted Score</v>
      </c>
    </row>
    <row r="17" spans="3:19">
      <c r="C17" s="40" t="str">
        <f>'Country Decoder - Final 2503205'!K49</f>
        <v>Tier 2</v>
      </c>
      <c r="D17" s="40" t="str">
        <f>'Country Decoder - Final 2503205'!L49</f>
        <v>Spain</v>
      </c>
      <c r="E17" s="231">
        <f>'Country Decoder - Final 2503205'!M49</f>
        <v>0.44343001533786452</v>
      </c>
      <c r="F17" s="231">
        <f>'Country Decoder - Final 2503205'!N49</f>
        <v>0.24049567994334942</v>
      </c>
      <c r="G17" s="231">
        <f>'Country Decoder - Final 2503205'!O49</f>
        <v>0.41429022453340925</v>
      </c>
      <c r="H17" s="231">
        <f>'Country Decoder - Final 2503205'!P49</f>
        <v>0.69528075807853451</v>
      </c>
      <c r="I17" s="231">
        <f>'Country Decoder - Final 2503205'!Q49</f>
        <v>0.69154697748562688</v>
      </c>
      <c r="J17" s="231">
        <f>'Country Decoder - Final 2503205'!R49</f>
        <v>0.55037777758208473</v>
      </c>
      <c r="K17" s="231">
        <f>'Country Decoder - Final 2503205'!S49</f>
        <v>0.37374434703180226</v>
      </c>
      <c r="L17" s="231">
        <f>'Country Decoder - Final 2503205'!T49</f>
        <v>0.30750080282171721</v>
      </c>
      <c r="M17" s="231">
        <f>'Country Decoder - Final 2503205'!U49</f>
        <v>0.25027857168592754</v>
      </c>
      <c r="N17" s="231">
        <f>'Country Decoder - Final 2503205'!V49</f>
        <v>0.29897301351359695</v>
      </c>
      <c r="O17" s="231">
        <f>'Country Decoder - Final 2503205'!X15</f>
        <v>73.745254366586195</v>
      </c>
      <c r="P17" s="40">
        <f>'Country Decoder - Final 2503205'!Y15</f>
        <v>2.3952272948683542E-2</v>
      </c>
      <c r="Q17" s="40">
        <f>'Country Decoder - Final 2503205'!Z15</f>
        <v>8383295.53203924</v>
      </c>
      <c r="S17" s="40" t="str">
        <v>% Split</v>
      </c>
    </row>
    <row r="18" spans="3:19">
      <c r="C18" s="40" t="str">
        <f>'Country Decoder - Final 2503205'!K50</f>
        <v>Tier 2</v>
      </c>
      <c r="D18" s="40" t="str">
        <f>'Country Decoder - Final 2503205'!L50</f>
        <v>Netherlands</v>
      </c>
      <c r="E18" s="231">
        <f>'Country Decoder - Final 2503205'!M50</f>
        <v>0.78710832089777194</v>
      </c>
      <c r="F18" s="231">
        <f>'Country Decoder - Final 2503205'!N50</f>
        <v>0.82838463663714279</v>
      </c>
      <c r="G18" s="231">
        <f>'Country Decoder - Final 2503205'!O50</f>
        <v>0.38885122158652835</v>
      </c>
      <c r="H18" s="231">
        <f>'Country Decoder - Final 2503205'!P50</f>
        <v>0.63278582743389844</v>
      </c>
      <c r="I18" s="231">
        <f>'Country Decoder - Final 2503205'!Q50</f>
        <v>0.86298735549744388</v>
      </c>
      <c r="J18" s="231">
        <f>'Country Decoder - Final 2503205'!R50</f>
        <v>0.65116974957148832</v>
      </c>
      <c r="K18" s="231">
        <f>'Country Decoder - Final 2503205'!S50</f>
        <v>0.38361163108088642</v>
      </c>
      <c r="L18" s="231">
        <f>'Country Decoder - Final 2503205'!T50</f>
        <v>0.30750080282171721</v>
      </c>
      <c r="M18" s="231">
        <f>'Country Decoder - Final 2503205'!U50</f>
        <v>0.25027857168592754</v>
      </c>
      <c r="N18" s="231">
        <f>'Country Decoder - Final 2503205'!V50</f>
        <v>0.44920695542891054</v>
      </c>
      <c r="O18" s="231">
        <f>'Country Decoder - Final 2503205'!X16</f>
        <v>78.5384956735587</v>
      </c>
      <c r="P18" s="40">
        <f>'Country Decoder - Final 2503205'!Y16</f>
        <v>2.5509105657169389E-2</v>
      </c>
      <c r="Q18" s="40">
        <f>'Country Decoder - Final 2503205'!Z16</f>
        <v>8928186.9800092857</v>
      </c>
      <c r="S18" s="40" t="str">
        <v>Budget Split</v>
      </c>
    </row>
    <row r="19" spans="3:19">
      <c r="C19" s="40" t="str">
        <f>'Country Decoder - Final 2503205'!K51</f>
        <v>Tier 2</v>
      </c>
      <c r="D19" s="40" t="str">
        <f>'Country Decoder - Final 2503205'!L51</f>
        <v>Japan</v>
      </c>
      <c r="E19" s="231">
        <f>'Country Decoder - Final 2503205'!M51</f>
        <v>0.87257091135875409</v>
      </c>
      <c r="F19" s="231">
        <f>'Country Decoder - Final 2503205'!N51</f>
        <v>8.2205479663129924E-2</v>
      </c>
      <c r="G19" s="231">
        <f>'Country Decoder - Final 2503205'!O51</f>
        <v>0.34612656708963413</v>
      </c>
      <c r="H19" s="231">
        <f>'Country Decoder - Final 2503205'!P51</f>
        <v>0.65715306514301752</v>
      </c>
      <c r="I19" s="231">
        <f>'Country Decoder - Final 2503205'!Q51</f>
        <v>0.61937017405120764</v>
      </c>
      <c r="J19" s="231">
        <f>'Country Decoder - Final 2503205'!R51</f>
        <v>0.8091587608253521</v>
      </c>
      <c r="K19" s="231">
        <f>'Country Decoder - Final 2503205'!S51</f>
        <v>0.35814801055786238</v>
      </c>
      <c r="L19" s="231">
        <f>'Country Decoder - Final 2503205'!T51</f>
        <v>0.32707547202102494</v>
      </c>
      <c r="M19" s="231">
        <f>'Country Decoder - Final 2503205'!U51</f>
        <v>0.25027857168592754</v>
      </c>
      <c r="N19" s="231">
        <f>'Country Decoder - Final 2503205'!V51</f>
        <v>0.25668984951896939</v>
      </c>
      <c r="O19" s="231">
        <f>'Country Decoder - Final 2503205'!X17</f>
        <v>80.714098919822504</v>
      </c>
      <c r="P19" s="40">
        <f>'Country Decoder - Final 2503205'!Y17</f>
        <v>2.6215736114005454E-2</v>
      </c>
      <c r="Q19" s="40">
        <f>'Country Decoder - Final 2503205'!Z17</f>
        <v>9175507.6399019081</v>
      </c>
    </row>
    <row r="20" spans="3:19">
      <c r="C20" s="40" t="str">
        <f>'Country Decoder - Final 2503205'!K52</f>
        <v>Tier 2</v>
      </c>
      <c r="D20" s="40" t="str">
        <f>'Country Decoder - Final 2503205'!L52</f>
        <v>Uzbekistan</v>
      </c>
      <c r="E20" s="231">
        <f>'Country Decoder - Final 2503205'!M52</f>
        <v>0.49423737487965397</v>
      </c>
      <c r="F20" s="231">
        <f>'Country Decoder - Final 2503205'!N52</f>
        <v>0.10484606195006746</v>
      </c>
      <c r="G20" s="231">
        <f>'Country Decoder - Final 2503205'!O52</f>
        <v>0.33856503952856454</v>
      </c>
      <c r="H20" s="231">
        <f>'Country Decoder - Final 2503205'!P52</f>
        <v>0.99752161346655788</v>
      </c>
      <c r="I20" s="231">
        <f>'Country Decoder - Final 2503205'!Q52</f>
        <v>9.0672795395966455E-2</v>
      </c>
      <c r="J20" s="231">
        <f>'Country Decoder - Final 2503205'!R52</f>
        <v>6.9172666106451605E-2</v>
      </c>
      <c r="K20" s="231">
        <f>'Country Decoder - Final 2503205'!S52</f>
        <v>0.36782217362448155</v>
      </c>
      <c r="L20" s="231">
        <f>'Country Decoder - Final 2503205'!T52</f>
        <v>0.58368208003951216</v>
      </c>
      <c r="M20" s="231">
        <f>'Country Decoder - Final 2503205'!U52</f>
        <v>0.25027857168592754</v>
      </c>
      <c r="N20" s="231">
        <f>'Country Decoder - Final 2503205'!V52</f>
        <v>0.29871975517284882</v>
      </c>
      <c r="O20" s="231">
        <f>'Country Decoder - Final 2503205'!X18</f>
        <v>65.584655979584738</v>
      </c>
      <c r="P20" s="40">
        <f>'Country Decoder - Final 2503205'!Y18</f>
        <v>2.1301731138652032E-2</v>
      </c>
      <c r="Q20" s="40">
        <f>'Country Decoder - Final 2503205'!Z18</f>
        <v>7455605.8985282108</v>
      </c>
    </row>
    <row r="21" spans="3:19">
      <c r="C21" s="40" t="str">
        <f>'Country Decoder - Final 2503205'!K53</f>
        <v>Tier 2</v>
      </c>
      <c r="D21" s="40" t="str">
        <f>'Country Decoder - Final 2503205'!L53</f>
        <v>Poland</v>
      </c>
      <c r="E21" s="231">
        <f>'Country Decoder - Final 2503205'!M53</f>
        <v>0.26235703848775793</v>
      </c>
      <c r="F21" s="231">
        <f>'Country Decoder - Final 2503205'!N53</f>
        <v>0.84613677811351518</v>
      </c>
      <c r="G21" s="231">
        <f>'Country Decoder - Final 2503205'!O53</f>
        <v>0.41402202361387502</v>
      </c>
      <c r="H21" s="231">
        <f>'Country Decoder - Final 2503205'!P53</f>
        <v>0.88980671645519516</v>
      </c>
      <c r="I21" s="231">
        <f>'Country Decoder - Final 2503205'!Q53</f>
        <v>0.20754377568418036</v>
      </c>
      <c r="J21" s="231">
        <f>'Country Decoder - Final 2503205'!R53</f>
        <v>0.26711273442056771</v>
      </c>
      <c r="K21" s="231">
        <f>'Country Decoder - Final 2503205'!S53</f>
        <v>0.41685614343095573</v>
      </c>
      <c r="L21" s="231">
        <f>'Country Decoder - Final 2503205'!T53</f>
        <v>0.26999290200934667</v>
      </c>
      <c r="M21" s="231">
        <f>'Country Decoder - Final 2503205'!U53</f>
        <v>0.25027857168592754</v>
      </c>
      <c r="N21" s="231">
        <f>'Country Decoder - Final 2503205'!V53</f>
        <v>0.41576749767595672</v>
      </c>
      <c r="O21" s="231">
        <f>'Country Decoder - Final 2503205'!X19</f>
        <v>64.776155741175117</v>
      </c>
      <c r="P21" s="40">
        <f>'Country Decoder - Final 2503205'!Y19</f>
        <v>2.103913229679032E-2</v>
      </c>
      <c r="Q21" s="40">
        <f>'Country Decoder - Final 2503205'!Z19</f>
        <v>7363696.3038766123</v>
      </c>
    </row>
    <row r="22" spans="3:19">
      <c r="C22" s="40" t="str">
        <f>'Country Decoder - Final 2503205'!K54</f>
        <v>Tier 2</v>
      </c>
      <c r="D22" s="40" t="str">
        <f>'Country Decoder - Final 2503205'!L54</f>
        <v>South Korea</v>
      </c>
      <c r="E22" s="231">
        <f>'Country Decoder - Final 2503205'!M54</f>
        <v>0.5164230187536698</v>
      </c>
      <c r="F22" s="231">
        <f>'Country Decoder - Final 2503205'!N54</f>
        <v>0.29247389099148668</v>
      </c>
      <c r="G22" s="231">
        <f>'Country Decoder - Final 2503205'!O54</f>
        <v>0.33774456193414754</v>
      </c>
      <c r="H22" s="231">
        <f>'Country Decoder - Final 2503205'!P54</f>
        <v>8.9171251908062008E-2</v>
      </c>
      <c r="I22" s="231">
        <f>'Country Decoder - Final 2503205'!Q54</f>
        <v>0.79218182226911615</v>
      </c>
      <c r="J22" s="231">
        <f>'Country Decoder - Final 2503205'!R54</f>
        <v>0.75419624711232514</v>
      </c>
      <c r="K22" s="231">
        <f>'Country Decoder - Final 2503205'!S54</f>
        <v>0.35068769017754331</v>
      </c>
      <c r="L22" s="231">
        <f>'Country Decoder - Final 2503205'!T54</f>
        <v>0.28845951832307842</v>
      </c>
      <c r="M22" s="231">
        <f>'Country Decoder - Final 2503205'!U54</f>
        <v>0.25027857168592754</v>
      </c>
      <c r="N22" s="231">
        <f>'Country Decoder - Final 2503205'!V54</f>
        <v>0.25469926445242108</v>
      </c>
      <c r="O22" s="231">
        <f>'Country Decoder - Final 2503205'!X20</f>
        <v>77.624375953663829</v>
      </c>
      <c r="P22" s="40">
        <f>'Country Decoder - Final 2503205'!Y20</f>
        <v>2.5212201873641094E-2</v>
      </c>
      <c r="Q22" s="40">
        <f>'Country Decoder - Final 2503205'!Z20</f>
        <v>8824270.6557743829</v>
      </c>
    </row>
    <row r="23" spans="3:19">
      <c r="C23" s="40" t="str">
        <f>'Country Decoder - Final 2503205'!K55</f>
        <v>Tier 2</v>
      </c>
      <c r="D23" s="40" t="str">
        <f>'Country Decoder - Final 2503205'!L55</f>
        <v>Armenia</v>
      </c>
      <c r="E23" s="231">
        <f>'Country Decoder - Final 2503205'!M55</f>
        <v>0.18255954648219472</v>
      </c>
      <c r="F23" s="231">
        <f>'Country Decoder - Final 2503205'!N55</f>
        <v>0.3859907897848483</v>
      </c>
      <c r="G23" s="231">
        <f>'Country Decoder - Final 2503205'!O55</f>
        <v>0.34433419009287591</v>
      </c>
      <c r="H23" s="231">
        <f>'Country Decoder - Final 2503205'!P55</f>
        <v>0.56454110766180321</v>
      </c>
      <c r="I23" s="231">
        <f>'Country Decoder - Final 2503205'!Q55</f>
        <v>9.9617206173364628E-2</v>
      </c>
      <c r="J23" s="231">
        <f>'Country Decoder - Final 2503205'!R55</f>
        <v>0.10428167237058236</v>
      </c>
      <c r="K23" s="231">
        <f>'Country Decoder - Final 2503205'!S55</f>
        <v>0.35247132198659403</v>
      </c>
      <c r="L23" s="231">
        <f>'Country Decoder - Final 2503205'!T55</f>
        <v>0.47472532019653441</v>
      </c>
      <c r="M23" s="231">
        <f>'Country Decoder - Final 2503205'!U55</f>
        <v>0.25027857168592754</v>
      </c>
      <c r="N23" s="231">
        <f>'Country Decoder - Final 2503205'!V55</f>
        <v>0.43380110673007871</v>
      </c>
      <c r="O23" s="231">
        <f>'Country Decoder - Final 2503205'!X21</f>
        <v>62.828596888603435</v>
      </c>
      <c r="P23" s="40">
        <f>'Country Decoder - Final 2503205'!Y21</f>
        <v>2.0406570084874509E-2</v>
      </c>
      <c r="Q23" s="40">
        <f>'Country Decoder - Final 2503205'!Z21</f>
        <v>7142299.5297060786</v>
      </c>
    </row>
    <row r="24" spans="3:19">
      <c r="C24" s="40" t="str">
        <f>'Country Decoder - Final 2503205'!K56</f>
        <v>Tier 2</v>
      </c>
      <c r="D24" s="40" t="str">
        <f>'Country Decoder - Final 2503205'!L56</f>
        <v>Belgium</v>
      </c>
      <c r="E24" s="231">
        <f>'Country Decoder - Final 2503205'!M56</f>
        <v>0.9195134925841848</v>
      </c>
      <c r="F24" s="231">
        <f>'Country Decoder - Final 2503205'!N56</f>
        <v>0.80309591784357592</v>
      </c>
      <c r="G24" s="231">
        <f>'Country Decoder - Final 2503205'!O56</f>
        <v>0.36407667890190742</v>
      </c>
      <c r="H24" s="231">
        <f>'Country Decoder - Final 2503205'!P56</f>
        <v>0.64060253071102646</v>
      </c>
      <c r="I24" s="231">
        <f>'Country Decoder - Final 2503205'!Q56</f>
        <v>0.81184581801472999</v>
      </c>
      <c r="J24" s="231">
        <f>'Country Decoder - Final 2503205'!R56</f>
        <v>0.55037777758208473</v>
      </c>
      <c r="K24" s="231">
        <f>'Country Decoder - Final 2503205'!S56</f>
        <v>0.36479612413154461</v>
      </c>
      <c r="L24" s="231">
        <f>'Country Decoder - Final 2503205'!T56</f>
        <v>0.28845951832307842</v>
      </c>
      <c r="M24" s="231">
        <f>'Country Decoder - Final 2503205'!U56</f>
        <v>0.25027857168592754</v>
      </c>
      <c r="N24" s="231">
        <f>'Country Decoder - Final 2503205'!V56</f>
        <v>0.39104040587394451</v>
      </c>
      <c r="O24" s="231">
        <f>'Country Decoder - Final 2503205'!X22</f>
        <v>76.550765716426412</v>
      </c>
      <c r="P24" s="40">
        <f>'Country Decoder - Final 2503205'!Y22</f>
        <v>2.4863495971631715E-2</v>
      </c>
      <c r="Q24" s="40">
        <f>'Country Decoder - Final 2503205'!Z22</f>
        <v>8702223.5900711007</v>
      </c>
    </row>
    <row r="25" spans="3:19">
      <c r="C25" s="40" t="str">
        <f>'Country Decoder - Final 2503205'!K57</f>
        <v>Tier 1</v>
      </c>
      <c r="D25" s="40" t="str">
        <f>'Country Decoder - Final 2503205'!L57</f>
        <v>Italy</v>
      </c>
      <c r="E25" s="231">
        <f>'Country Decoder - Final 2503205'!M57</f>
        <v>0.69000435665384818</v>
      </c>
      <c r="F25" s="231">
        <f>'Country Decoder - Final 2503205'!N57</f>
        <v>0.70529329304568544</v>
      </c>
      <c r="G25" s="231">
        <f>'Country Decoder - Final 2503205'!O57</f>
        <v>0.47924060098167176</v>
      </c>
      <c r="H25" s="231">
        <f>'Country Decoder - Final 2503205'!P57</f>
        <v>0.50252920252406619</v>
      </c>
      <c r="I25" s="231">
        <f>'Country Decoder - Final 2503205'!Q57</f>
        <v>0.76389628241658325</v>
      </c>
      <c r="J25" s="231">
        <f>'Country Decoder - Final 2503205'!R57</f>
        <v>0.69171173816824461</v>
      </c>
      <c r="K25" s="231">
        <f>'Country Decoder - Final 2503205'!S57</f>
        <v>0.36639652838404346</v>
      </c>
      <c r="L25" s="231">
        <f>'Country Decoder - Final 2503205'!T57</f>
        <v>0.32707547202102494</v>
      </c>
      <c r="M25" s="231">
        <f>'Country Decoder - Final 2503205'!U57</f>
        <v>0.91021146539869535</v>
      </c>
      <c r="N25" s="231">
        <f>'Country Decoder - Final 2503205'!V57</f>
        <v>0.27758318135428833</v>
      </c>
      <c r="O25" s="231">
        <f>'Country Decoder - Final 2503205'!X23</f>
        <v>210.6013890583634</v>
      </c>
      <c r="P25" s="40">
        <f>'Country Decoder - Final 2503205'!Y23</f>
        <v>6.8402800931735799E-2</v>
      </c>
      <c r="Q25" s="40">
        <f>'Country Decoder - Final 2503205'!Z23</f>
        <v>23940980.326107528</v>
      </c>
    </row>
    <row r="26" spans="3:19">
      <c r="C26" s="40" t="str">
        <f>'Country Decoder - Final 2503205'!K58</f>
        <v>Tier 1</v>
      </c>
      <c r="D26" s="40" t="str">
        <f>'Country Decoder - Final 2503205'!L58</f>
        <v>China</v>
      </c>
      <c r="E26" s="231">
        <f>'Country Decoder - Final 2503205'!M58</f>
        <v>7.9733291582292184E-2</v>
      </c>
      <c r="F26" s="231">
        <f>'Country Decoder - Final 2503205'!N58</f>
        <v>6.5278592281044392E-2</v>
      </c>
      <c r="G26" s="231">
        <f>'Country Decoder - Final 2503205'!O58</f>
        <v>0.33451066399124096</v>
      </c>
      <c r="H26" s="231">
        <f>'Country Decoder - Final 2503205'!P58</f>
        <v>0.5423330088542776</v>
      </c>
      <c r="I26" s="231">
        <f>'Country Decoder - Final 2503205'!Q58</f>
        <v>0.13886032047526572</v>
      </c>
      <c r="J26" s="231">
        <f>'Country Decoder - Final 2503205'!R58</f>
        <v>0.97709161230548192</v>
      </c>
      <c r="K26" s="231">
        <f>'Country Decoder - Final 2503205'!S58</f>
        <v>0.96068945028434161</v>
      </c>
      <c r="L26" s="231">
        <f>'Country Decoder - Final 2503205'!T58</f>
        <v>0.40973449547155111</v>
      </c>
      <c r="M26" s="231">
        <f>'Country Decoder - Final 2503205'!U58</f>
        <v>0.91021146539869535</v>
      </c>
      <c r="N26" s="231">
        <f>'Country Decoder - Final 2503205'!V58</f>
        <v>0.29959349415832115</v>
      </c>
      <c r="O26" s="231">
        <f>'Country Decoder - Final 2503205'!X24</f>
        <v>211.99147928669731</v>
      </c>
      <c r="P26" s="40">
        <f>'Country Decoder - Final 2503205'!Y24</f>
        <v>6.8854298738046688E-2</v>
      </c>
      <c r="Q26" s="40">
        <f>'Country Decoder - Final 2503205'!Z24</f>
        <v>24099004.558316339</v>
      </c>
    </row>
    <row r="27" spans="3:19">
      <c r="C27" s="40" t="str">
        <f>'Country Decoder - Final 2503205'!K59</f>
        <v>Tier 1</v>
      </c>
      <c r="D27" s="40" t="str">
        <f>'Country Decoder - Final 2503205'!L59</f>
        <v>Saudi Arabia</v>
      </c>
      <c r="E27" s="231">
        <f>'Country Decoder - Final 2503205'!M59</f>
        <v>0.18744418264782853</v>
      </c>
      <c r="F27" s="231">
        <f>'Country Decoder - Final 2503205'!N59</f>
        <v>0.42223462867052736</v>
      </c>
      <c r="G27" s="231">
        <f>'Country Decoder - Final 2503205'!O59</f>
        <v>0.37443385632658788</v>
      </c>
      <c r="H27" s="231">
        <f>'Country Decoder - Final 2503205'!P59</f>
        <v>0.3173008363212142</v>
      </c>
      <c r="I27" s="231">
        <f>'Country Decoder - Final 2503205'!Q59</f>
        <v>0.21012054923713741</v>
      </c>
      <c r="J27" s="231">
        <f>'Country Decoder - Final 2503205'!R59</f>
        <v>0.55037777758208473</v>
      </c>
      <c r="K27" s="231">
        <f>'Country Decoder - Final 2503205'!S59</f>
        <v>0.48922953592128288</v>
      </c>
      <c r="L27" s="231">
        <f>'Country Decoder - Final 2503205'!T59</f>
        <v>0.32707547202102494</v>
      </c>
      <c r="M27" s="231">
        <f>'Country Decoder - Final 2503205'!U59</f>
        <v>0.91021146539869535</v>
      </c>
      <c r="N27" s="231">
        <f>'Country Decoder - Final 2503205'!V59</f>
        <v>0.615075822232375</v>
      </c>
      <c r="O27" s="231">
        <f>'Country Decoder - Final 2503205'!X25</f>
        <v>202.20570006449552</v>
      </c>
      <c r="P27" s="40">
        <f>'Country Decoder - Final 2503205'!Y25</f>
        <v>6.5675902284485388E-2</v>
      </c>
      <c r="Q27" s="40">
        <f>'Country Decoder - Final 2503205'!Z25</f>
        <v>22986565.799569886</v>
      </c>
    </row>
    <row r="28" spans="3:19">
      <c r="C28" s="40" t="str">
        <f>'Country Decoder - Final 2503205'!K60</f>
        <v>Tier 1</v>
      </c>
      <c r="D28" s="40" t="str">
        <f>'Country Decoder - Final 2503205'!L60</f>
        <v>Russia</v>
      </c>
      <c r="E28" s="231">
        <f>'Country Decoder - Final 2503205'!M60</f>
        <v>0.17099309062914267</v>
      </c>
      <c r="F28" s="231">
        <f>'Country Decoder - Final 2503205'!N60</f>
        <v>0.14348054202399171</v>
      </c>
      <c r="G28" s="231">
        <f>'Country Decoder - Final 2503205'!O60</f>
        <v>0.49999989223604202</v>
      </c>
      <c r="H28" s="231">
        <f>'Country Decoder - Final 2503205'!P60</f>
        <v>9.9706297539276303E-2</v>
      </c>
      <c r="I28" s="231">
        <f>'Country Decoder - Final 2503205'!Q60</f>
        <v>0.18971437699061383</v>
      </c>
      <c r="J28" s="231">
        <f>'Country Decoder - Final 2503205'!R60</f>
        <v>0.18850108246518354</v>
      </c>
      <c r="K28" s="231">
        <f>'Country Decoder - Final 2503205'!S60</f>
        <v>0.43329672449274548</v>
      </c>
      <c r="L28" s="231">
        <f>'Country Decoder - Final 2503205'!T60</f>
        <v>0.28845951832307842</v>
      </c>
      <c r="M28" s="231">
        <f>'Country Decoder - Final 2503205'!U60</f>
        <v>0.91021146539869535</v>
      </c>
      <c r="N28" s="231">
        <f>'Country Decoder - Final 2503205'!V60</f>
        <v>0.30138207467177408</v>
      </c>
      <c r="O28" s="231">
        <f>'Country Decoder - Final 2503205'!X26</f>
        <v>193.98379846474327</v>
      </c>
      <c r="P28" s="40">
        <f>'Country Decoder - Final 2503205'!Y26</f>
        <v>6.3005449345296477E-2</v>
      </c>
      <c r="Q28" s="40">
        <f>'Country Decoder - Final 2503205'!Z26</f>
        <v>22051907.270853765</v>
      </c>
    </row>
    <row r="29" spans="3:19">
      <c r="C29" s="40" t="str">
        <f>'Country Decoder - Final 2503205'!K61</f>
        <v>Tier 1</v>
      </c>
      <c r="D29" s="40" t="str">
        <f>'Country Decoder - Final 2503205'!L61</f>
        <v>Kuwait</v>
      </c>
      <c r="E29" s="231">
        <f>'Country Decoder - Final 2503205'!M61</f>
        <v>0.27317374527324378</v>
      </c>
      <c r="F29" s="231">
        <f>'Country Decoder - Final 2503205'!N61</f>
        <v>0.38578939657439559</v>
      </c>
      <c r="G29" s="231">
        <f>'Country Decoder - Final 2503205'!O61</f>
        <v>0.3516532569067391</v>
      </c>
      <c r="H29" s="231">
        <f>'Country Decoder - Final 2503205'!P61</f>
        <v>0.1190867421712703</v>
      </c>
      <c r="I29" s="231">
        <f>'Country Decoder - Final 2503205'!Q61</f>
        <v>0.58477469572307683</v>
      </c>
      <c r="J29" s="231">
        <f>'Country Decoder - Final 2503205'!R61</f>
        <v>0.35953419675390041</v>
      </c>
      <c r="K29" s="231">
        <f>'Country Decoder - Final 2503205'!S61</f>
        <v>0.39099383900877288</v>
      </c>
      <c r="L29" s="231">
        <f>'Country Decoder - Final 2503205'!T61</f>
        <v>0.28845951832307842</v>
      </c>
      <c r="M29" s="231">
        <f>'Country Decoder - Final 2503205'!U61</f>
        <v>0.18770673748667355</v>
      </c>
      <c r="N29" s="231">
        <f>'Country Decoder - Final 2503205'!V61</f>
        <v>0.97656992498566686</v>
      </c>
      <c r="O29" s="231">
        <f>'Country Decoder - Final 2503205'!X27</f>
        <v>55.155707743779843</v>
      </c>
      <c r="P29" s="40">
        <f>'Country Decoder - Final 2503205'!Y27</f>
        <v>1.791443500878916E-2</v>
      </c>
      <c r="Q29" s="40">
        <f>'Country Decoder - Final 2503205'!Z27</f>
        <v>6270052.253076206</v>
      </c>
    </row>
    <row r="30" spans="3:19">
      <c r="C30" s="40" t="str">
        <f>'Country Decoder - Final 2503205'!K62</f>
        <v>Tier 1</v>
      </c>
      <c r="D30" s="40" t="str">
        <f>'Country Decoder - Final 2503205'!L62</f>
        <v>India</v>
      </c>
      <c r="E30" s="231">
        <f>'Country Decoder - Final 2503205'!M62</f>
        <v>0.37966310640859363</v>
      </c>
      <c r="F30" s="231">
        <f>'Country Decoder - Final 2503205'!N62</f>
        <v>4.3909558213021171E-2</v>
      </c>
      <c r="G30" s="231">
        <f>'Country Decoder - Final 2503205'!O62</f>
        <v>0.78123905117715053</v>
      </c>
      <c r="H30" s="231">
        <f>'Country Decoder - Final 2503205'!P62</f>
        <v>0.8586916130976987</v>
      </c>
      <c r="I30" s="231">
        <f>'Country Decoder - Final 2503205'!Q62</f>
        <v>9.9355811368567276E-2</v>
      </c>
      <c r="J30" s="231">
        <f>'Country Decoder - Final 2503205'!R62</f>
        <v>0.15970742621902018</v>
      </c>
      <c r="K30" s="231">
        <f>'Country Decoder - Final 2503205'!S62</f>
        <v>0.99999602718278269</v>
      </c>
      <c r="L30" s="231">
        <f>'Country Decoder - Final 2503205'!T62</f>
        <v>0.49662782531261696</v>
      </c>
      <c r="M30" s="231">
        <f>'Country Decoder - Final 2503205'!U62</f>
        <v>0.91021146539869535</v>
      </c>
      <c r="N30" s="231">
        <f>'Country Decoder - Final 2503205'!V62</f>
        <v>0.36651802505342335</v>
      </c>
      <c r="O30" s="231">
        <f>'Country Decoder - Final 2503205'!X28</f>
        <v>199.52773530186911</v>
      </c>
      <c r="P30" s="40">
        <f>'Country Decoder - Final 2503205'!Y28</f>
        <v>6.4806106071938221E-2</v>
      </c>
      <c r="Q30" s="40">
        <f>'Country Decoder - Final 2503205'!Z28</f>
        <v>22682137.125178378</v>
      </c>
    </row>
    <row r="34" spans="3:6">
      <c r="D34" s="40" t="str">
        <f>_xlfn.CONCAT("Bubble Chart: ",D38," x ",E38," (Size: ",F38,")")</f>
        <v>Bubble Chart: Media Cost Index x Weighted Score (Size: Budget Split)</v>
      </c>
    </row>
    <row r="36" spans="3:6">
      <c r="D36" s="40" t="s">
        <v>685</v>
      </c>
      <c r="E36" s="40" t="s">
        <v>686</v>
      </c>
      <c r="F36" s="40" t="s">
        <v>687</v>
      </c>
    </row>
    <row r="37" spans="3:6">
      <c r="D37" s="40" t="s">
        <v>688</v>
      </c>
      <c r="E37" s="40" t="s">
        <v>689</v>
      </c>
      <c r="F37" s="40" t="s">
        <v>690</v>
      </c>
    </row>
    <row r="38" spans="3:6">
      <c r="C38" s="40" t="s">
        <v>212</v>
      </c>
      <c r="D38" s="232" t="s">
        <v>691</v>
      </c>
      <c r="E38" s="232" t="s">
        <v>228</v>
      </c>
      <c r="F38" s="232" t="s">
        <v>218</v>
      </c>
    </row>
    <row r="39" spans="3:6">
      <c r="C39" s="40" t="str">
        <f>D5</f>
        <v>UAE</v>
      </c>
      <c r="D39" s="231" cm="1">
        <f t="array" ref="D39:D64">_xlfn._xlws.FILTER($D$5:$Q$30,$D$4:$Q$4=D38)</f>
        <v>0.73004062442264184</v>
      </c>
      <c r="E39" s="231" cm="1">
        <f t="array" ref="E39:E64">_xlfn._xlws.FILTER($D$5:$Q$30,$D$4:$Q$4=E38)</f>
        <v>106.74561752239512</v>
      </c>
      <c r="F39" s="40" cm="1">
        <f t="array" ref="F39:F64">_xlfn._xlws.FILTER($D$5:$Q$30,$D$4:$Q$4=F38)</f>
        <v>12134747.735655418</v>
      </c>
    </row>
    <row r="40" spans="3:6">
      <c r="C40" s="40" t="str">
        <f>D6</f>
        <v>USA</v>
      </c>
      <c r="D40" s="231">
        <v>0.98552341491133066</v>
      </c>
      <c r="E40" s="231">
        <v>223.84195969697979</v>
      </c>
      <c r="F40" s="40">
        <v>25446156.728708107</v>
      </c>
    </row>
    <row r="41" spans="3:6">
      <c r="C41" s="40" t="str">
        <f>D7</f>
        <v>UK</v>
      </c>
      <c r="D41" s="231">
        <v>0.89414785444377365</v>
      </c>
      <c r="E41" s="231">
        <v>220.459483107533</v>
      </c>
      <c r="F41" s="40">
        <v>25061639.770659827</v>
      </c>
    </row>
    <row r="42" spans="3:6">
      <c r="C42" s="40" t="str">
        <f>D8</f>
        <v>Germany</v>
      </c>
      <c r="D42" s="231">
        <v>0.69171173816824461</v>
      </c>
      <c r="E42" s="231">
        <v>211.90058304596513</v>
      </c>
      <c r="F42" s="40">
        <v>24088671.553767718</v>
      </c>
    </row>
    <row r="43" spans="3:6">
      <c r="C43" s="40" t="str">
        <f>D9</f>
        <v>France</v>
      </c>
      <c r="D43" s="231">
        <v>0.6231111223999517</v>
      </c>
      <c r="E43" s="231">
        <v>210.7512149090214</v>
      </c>
      <c r="F43" s="40">
        <v>23958012.396783721</v>
      </c>
    </row>
    <row r="44" spans="3:6">
      <c r="C44" s="40" t="str">
        <f>D10</f>
        <v>Egypt</v>
      </c>
      <c r="D44" s="231">
        <v>0.13395493014164964</v>
      </c>
      <c r="E44" s="231">
        <v>59.364732703587514</v>
      </c>
      <c r="F44" s="40">
        <v>6748530.5015122844</v>
      </c>
    </row>
    <row r="45" spans="3:6">
      <c r="C45" s="40" t="str">
        <f>D11</f>
        <v>Khazakstan</v>
      </c>
      <c r="D45" s="231">
        <v>0.10428167237058236</v>
      </c>
      <c r="E45" s="231">
        <v>66.696784419098236</v>
      </c>
      <c r="F45" s="40">
        <v>7582031.6795239802</v>
      </c>
    </row>
    <row r="46" spans="3:6">
      <c r="C46" s="40" t="str">
        <f>D12</f>
        <v>Bahrain</v>
      </c>
      <c r="D46" s="231">
        <v>0.25495495127936407</v>
      </c>
      <c r="E46" s="231">
        <v>54.617531191652994</v>
      </c>
      <c r="F46" s="40">
        <v>6208872.8168718675</v>
      </c>
    </row>
    <row r="47" spans="3:6">
      <c r="C47" s="40" t="str">
        <f>D13</f>
        <v>Qatar</v>
      </c>
      <c r="D47" s="231">
        <v>0.40226975733440823</v>
      </c>
      <c r="E47" s="231">
        <v>65.091672118060487</v>
      </c>
      <c r="F47" s="40">
        <v>7399563.9275677549</v>
      </c>
    </row>
    <row r="48" spans="3:6">
      <c r="C48" s="40" t="str">
        <f>D14</f>
        <v>Canada</v>
      </c>
      <c r="D48" s="231">
        <v>0.85584734151138386</v>
      </c>
      <c r="E48" s="231">
        <v>80.443354696549676</v>
      </c>
      <c r="F48" s="40">
        <v>9144729.6751801968</v>
      </c>
    </row>
    <row r="49" spans="3:6">
      <c r="C49" s="40" t="str">
        <f>D15</f>
        <v>Romania</v>
      </c>
      <c r="D49" s="231">
        <v>0.15970742621902018</v>
      </c>
      <c r="E49" s="231">
        <v>67.726058707607265</v>
      </c>
      <c r="F49" s="40">
        <v>7699038.6736446787</v>
      </c>
    </row>
    <row r="50" spans="3:6">
      <c r="C50" s="40" t="str">
        <f>D16</f>
        <v>Oman</v>
      </c>
      <c r="D50" s="231">
        <v>0.18850108246518354</v>
      </c>
      <c r="E50" s="231">
        <v>57.374398623009512</v>
      </c>
      <c r="F50" s="40">
        <v>6522271.077115545</v>
      </c>
    </row>
    <row r="51" spans="3:6">
      <c r="C51" s="40" t="str">
        <f>D17</f>
        <v>Spain</v>
      </c>
      <c r="D51" s="231">
        <v>0.55037777758208473</v>
      </c>
      <c r="E51" s="231">
        <v>73.745254366586195</v>
      </c>
      <c r="F51" s="40">
        <v>8383295.53203924</v>
      </c>
    </row>
    <row r="52" spans="3:6">
      <c r="C52" s="40" t="str">
        <f>D18</f>
        <v>Netherlands</v>
      </c>
      <c r="D52" s="231">
        <v>0.65116974957148832</v>
      </c>
      <c r="E52" s="231">
        <v>78.5384956735587</v>
      </c>
      <c r="F52" s="40">
        <v>8928186.9800092857</v>
      </c>
    </row>
    <row r="53" spans="3:6">
      <c r="C53" s="40" t="str">
        <f>D19</f>
        <v>Japan</v>
      </c>
      <c r="D53" s="231">
        <v>0.8091587608253521</v>
      </c>
      <c r="E53" s="231">
        <v>80.714098919822504</v>
      </c>
      <c r="F53" s="40">
        <v>9175507.6399019081</v>
      </c>
    </row>
    <row r="54" spans="3:6">
      <c r="C54" s="40" t="str">
        <f>D20</f>
        <v>Uzbekistan</v>
      </c>
      <c r="D54" s="231">
        <v>6.9172666106451605E-2</v>
      </c>
      <c r="E54" s="231">
        <v>65.584655979584738</v>
      </c>
      <c r="F54" s="40">
        <v>7455605.8985282108</v>
      </c>
    </row>
    <row r="55" spans="3:6">
      <c r="C55" s="40" t="str">
        <f>D21</f>
        <v>Poland</v>
      </c>
      <c r="D55" s="231">
        <v>0.26711273442056771</v>
      </c>
      <c r="E55" s="231">
        <v>64.776155741175117</v>
      </c>
      <c r="F55" s="40">
        <v>7363696.3038766123</v>
      </c>
    </row>
    <row r="56" spans="3:6">
      <c r="C56" s="40" t="str">
        <f>D22</f>
        <v>South Korea</v>
      </c>
      <c r="D56" s="231">
        <v>0.75419624711232514</v>
      </c>
      <c r="E56" s="231">
        <v>77.624375953663829</v>
      </c>
      <c r="F56" s="40">
        <v>8824270.6557743829</v>
      </c>
    </row>
    <row r="57" spans="3:6">
      <c r="C57" s="40" t="str">
        <f>D23</f>
        <v>Armenia</v>
      </c>
      <c r="D57" s="231">
        <v>0.10428167237058236</v>
      </c>
      <c r="E57" s="231">
        <v>62.828596888603435</v>
      </c>
      <c r="F57" s="40">
        <v>7142299.5297060786</v>
      </c>
    </row>
    <row r="58" spans="3:6">
      <c r="C58" s="40" t="str">
        <f>D24</f>
        <v>Belgium</v>
      </c>
      <c r="D58" s="231">
        <v>0.55037777758208473</v>
      </c>
      <c r="E58" s="231">
        <v>76.550765716426412</v>
      </c>
      <c r="F58" s="40">
        <v>8702223.5900711007</v>
      </c>
    </row>
    <row r="59" spans="3:6">
      <c r="C59" s="40" t="str">
        <f>D25</f>
        <v>Italy</v>
      </c>
      <c r="D59" s="231">
        <v>0.69171173816824461</v>
      </c>
      <c r="E59" s="231">
        <v>210.6013890583634</v>
      </c>
      <c r="F59" s="40">
        <v>23940980.326107528</v>
      </c>
    </row>
    <row r="60" spans="3:6">
      <c r="C60" s="40" t="str">
        <f>D26</f>
        <v>China</v>
      </c>
      <c r="D60" s="231">
        <v>0.97709161230548192</v>
      </c>
      <c r="E60" s="231">
        <v>211.99147928669731</v>
      </c>
      <c r="F60" s="40">
        <v>24099004.558316339</v>
      </c>
    </row>
    <row r="61" spans="3:6">
      <c r="C61" s="40" t="str">
        <f>D27</f>
        <v>Saudi Arabia</v>
      </c>
      <c r="D61" s="231">
        <v>0.55037777758208473</v>
      </c>
      <c r="E61" s="231">
        <v>202.20570006449552</v>
      </c>
      <c r="F61" s="40">
        <v>22986565.799569886</v>
      </c>
    </row>
    <row r="62" spans="3:6">
      <c r="C62" s="40" t="str">
        <f>D28</f>
        <v>Russia</v>
      </c>
      <c r="D62" s="231">
        <v>0.18850108246518354</v>
      </c>
      <c r="E62" s="231">
        <v>193.98379846474327</v>
      </c>
      <c r="F62" s="40">
        <v>22051907.270853765</v>
      </c>
    </row>
    <row r="63" spans="3:6">
      <c r="C63" s="40" t="str">
        <f>D29</f>
        <v>Kuwait</v>
      </c>
      <c r="D63" s="231">
        <v>0.35953419675390041</v>
      </c>
      <c r="E63" s="231">
        <v>55.155707743779843</v>
      </c>
      <c r="F63" s="40">
        <v>6270052.253076206</v>
      </c>
    </row>
    <row r="64" spans="3:6">
      <c r="C64" s="40" t="str">
        <f>D30</f>
        <v>India</v>
      </c>
      <c r="D64" s="231">
        <v>0.15970742621902018</v>
      </c>
      <c r="E64" s="231">
        <v>199.52773530186911</v>
      </c>
      <c r="F64" s="40">
        <v>22682137.125178378</v>
      </c>
    </row>
  </sheetData>
  <dataValidations count="1">
    <dataValidation type="list" allowBlank="1" showInputMessage="1" showErrorMessage="1" sqref="D38:F38" xr:uid="{C39C325E-4412-8548-8AA9-8BD1B5A56E85}">
      <formula1>$S$5:$S$18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6F8-5F57-4AA6-8D96-A270A2F98277}">
  <sheetPr>
    <tabColor rgb="FF00B050"/>
  </sheetPr>
  <dimension ref="A1:AZ78"/>
  <sheetViews>
    <sheetView zoomScale="83" zoomScaleNormal="83" workbookViewId="0">
      <selection activeCell="M4" sqref="M4"/>
    </sheetView>
  </sheetViews>
  <sheetFormatPr baseColWidth="10" defaultColWidth="8.83203125" defaultRowHeight="15"/>
  <cols>
    <col min="2" max="2" width="13.83203125" bestFit="1" customWidth="1"/>
    <col min="3" max="3" width="12.5" customWidth="1"/>
    <col min="4" max="4" width="13.5" customWidth="1"/>
    <col min="5" max="5" width="16.1640625" bestFit="1" customWidth="1"/>
    <col min="6" max="6" width="8.5" style="67" customWidth="1"/>
    <col min="7" max="7" width="11.83203125" style="67" customWidth="1"/>
    <col min="8" max="8" width="14" style="67" bestFit="1" customWidth="1"/>
    <col min="9" max="10" width="13.5" style="67" customWidth="1"/>
    <col min="11" max="13" width="13.5" customWidth="1"/>
    <col min="14" max="14" width="13.5" hidden="1" customWidth="1"/>
    <col min="15" max="18" width="13.5" style="67" customWidth="1"/>
    <col min="19" max="20" width="13.5" customWidth="1"/>
    <col min="21" max="21" width="15" customWidth="1"/>
    <col min="22" max="22" width="12.83203125" customWidth="1"/>
    <col min="23" max="23" width="8.83203125" bestFit="1" customWidth="1"/>
    <col min="24" max="24" width="14.5" bestFit="1" customWidth="1"/>
    <col min="25" max="25" width="12.1640625" bestFit="1" customWidth="1"/>
    <col min="26" max="26" width="14.1640625" customWidth="1"/>
    <col min="27" max="27" width="14.83203125" customWidth="1"/>
    <col min="28" max="29" width="9.1640625" customWidth="1"/>
    <col min="31" max="31" width="16.5" customWidth="1"/>
    <col min="32" max="32" width="15.83203125" bestFit="1" customWidth="1"/>
    <col min="33" max="34" width="15.83203125" customWidth="1"/>
    <col min="35" max="35" width="26.5" customWidth="1"/>
    <col min="36" max="36" width="23.1640625" customWidth="1"/>
    <col min="37" max="37" width="11.83203125" customWidth="1"/>
    <col min="38" max="38" width="19.5" customWidth="1"/>
    <col min="39" max="39" width="11.33203125" customWidth="1"/>
    <col min="42" max="42" width="14.6640625" bestFit="1" customWidth="1"/>
    <col min="44" max="49" width="8.6640625" style="39"/>
    <col min="50" max="51" width="15.5" style="39" bestFit="1" customWidth="1"/>
    <col min="52" max="52" width="8.6640625" style="39"/>
  </cols>
  <sheetData>
    <row r="1" spans="1:52" ht="39.5" customHeight="1">
      <c r="B1" s="33"/>
      <c r="C1" s="138"/>
      <c r="D1" s="138"/>
      <c r="E1" s="138"/>
      <c r="F1" s="138"/>
      <c r="G1" s="138"/>
      <c r="H1" s="138"/>
      <c r="I1" s="138"/>
      <c r="J1" s="90"/>
      <c r="K1" s="34"/>
      <c r="L1" s="34"/>
      <c r="M1" s="34"/>
      <c r="N1" s="34"/>
      <c r="O1" s="90"/>
      <c r="P1" s="90"/>
      <c r="Q1" s="90"/>
      <c r="R1" s="90"/>
      <c r="S1" s="34"/>
      <c r="T1" s="34"/>
      <c r="U1" s="35"/>
      <c r="V1" s="36" t="s">
        <v>200</v>
      </c>
      <c r="W1" t="s">
        <v>201</v>
      </c>
      <c r="X1" s="102">
        <v>23760000</v>
      </c>
      <c r="Y1" s="37"/>
      <c r="Z1" s="37"/>
      <c r="AI1" s="38"/>
      <c r="AM1" s="38"/>
    </row>
    <row r="2" spans="1:52" s="40" customFormat="1" ht="48">
      <c r="B2" s="40" t="s">
        <v>212</v>
      </c>
      <c r="C2" s="41" t="str">
        <f>Trips!B1</f>
        <v>Trips(000s)</v>
      </c>
      <c r="D2" s="41" t="str">
        <f>Spend!B1</f>
        <v>Spend(m-euro)</v>
      </c>
      <c r="E2" s="41" t="str">
        <f>'Tourist Departures'!B1</f>
        <v>Tourist Departures</v>
      </c>
      <c r="F2" s="64" t="str">
        <f>'Minimum Wage'!B1</f>
        <v>Hourly Minimum Wage</v>
      </c>
      <c r="G2" s="64" t="str">
        <f>NoofMillionaires!B1</f>
        <v>NoofMillionaires</v>
      </c>
      <c r="H2" s="64" t="str">
        <f>'Inflation Rate'!B1</f>
        <v>Inflation Rate</v>
      </c>
      <c r="I2" s="64" t="str">
        <f>Population!B1</f>
        <v>Population(m)</v>
      </c>
      <c r="J2" s="64" t="str">
        <f>'Search Volume'!B2</f>
        <v>SV -Abu Dhabi</v>
      </c>
      <c r="K2" s="41" t="str">
        <f>'Search Volume'!C2</f>
        <v>SV - Flights to Abu Dhabi</v>
      </c>
      <c r="L2" s="41" t="str">
        <f>'Search Volume'!D2</f>
        <v>23SV -Abu Dhabi</v>
      </c>
      <c r="M2" s="41" t="str">
        <f>'Search Volume'!E2</f>
        <v>23SV - Flights to Abu Dhabi</v>
      </c>
      <c r="N2" s="41" t="e">
        <f>'Search Volume'!#REF!</f>
        <v>#REF!</v>
      </c>
      <c r="O2" s="64" t="str">
        <f>'GDP Per Capita'!B1</f>
        <v>GDP Per Capita</v>
      </c>
      <c r="P2" s="64" t="str">
        <f>StandardofLiving!B1</f>
        <v>HDI</v>
      </c>
      <c r="Q2" s="64" t="str">
        <f>MAS!B1</f>
        <v>Median Annual Salary (USD)</v>
      </c>
      <c r="R2" s="64" t="str">
        <f>GDP!C1</f>
        <v>GDP - 2025</v>
      </c>
      <c r="S2" s="41" t="str">
        <f>GDP!D1</f>
        <v>GDP - Growth</v>
      </c>
      <c r="T2" s="41" t="str">
        <f>DPI!B1</f>
        <v>Disposable Personal Income (USD)</v>
      </c>
      <c r="U2" s="41" t="str">
        <f>'Cost of Media'!B1</f>
        <v>Media Cost</v>
      </c>
      <c r="V2" s="41" t="s">
        <v>217</v>
      </c>
      <c r="W2" s="41"/>
      <c r="X2" s="102" t="s">
        <v>218</v>
      </c>
      <c r="Y2" s="41"/>
      <c r="AA2" s="41"/>
      <c r="AE2" s="41"/>
      <c r="AF2" s="41"/>
      <c r="AG2" s="41"/>
      <c r="AH2" s="41"/>
      <c r="AI2" s="42"/>
      <c r="AJ2" s="41"/>
      <c r="AK2" s="41"/>
      <c r="AL2" s="41"/>
      <c r="AR2" s="43"/>
      <c r="AS2" s="43"/>
      <c r="AT2" s="44"/>
      <c r="AU2" s="44"/>
      <c r="AV2" s="44"/>
      <c r="AW2" s="44"/>
      <c r="AX2" s="44"/>
      <c r="AY2" s="44"/>
      <c r="AZ2" s="44"/>
    </row>
    <row r="3" spans="1:52" s="40" customFormat="1">
      <c r="B3" s="127" t="s">
        <v>322</v>
      </c>
      <c r="C3" s="1">
        <f>VLOOKUP(B3,Trips!$A$1:$B$27,2,FALSE)</f>
        <v>0</v>
      </c>
      <c r="D3" s="1" t="e">
        <f>VLOOKUP(B3,Spend!$A$1:$B$27,2,FALSE)</f>
        <v>#N/A</v>
      </c>
      <c r="E3" s="1">
        <f>VLOOKUP(B3,'Tourist Departures'!$A$1:$B$27,2,FALSE)</f>
        <v>18906000</v>
      </c>
      <c r="F3" s="88">
        <f>VLOOKUP(B3,'Minimum Wage'!$A$1:$B$27,2,FALSE)</f>
        <v>6</v>
      </c>
      <c r="G3" s="89">
        <f>VLOOKUP(B3,NoofMillionaires!$A$1:$B$27,2,FALSE)</f>
        <v>116500</v>
      </c>
      <c r="H3" s="65">
        <f>VLOOKUP(B3,'Inflation Rate'!$A$1:$B$27,2,FALSE)</f>
        <v>2.5999999999999999E-2</v>
      </c>
      <c r="I3" s="66">
        <f>VLOOKUP(B3,Population!$A$1:$B$27,2,FALSE)</f>
        <v>11350000</v>
      </c>
      <c r="J3" s="66">
        <f>VLOOKUP(B3,'Search Volume'!$A$2:$C$28,2,FALSE)</f>
        <v>18791890</v>
      </c>
      <c r="K3" s="1">
        <f>VLOOKUP(B3,'Search Volume'!$A$2:$C$28,3,FALSE)</f>
        <v>69430</v>
      </c>
      <c r="L3" s="1">
        <f>VLOOKUP(B3,'Search Volume'!$A$2:$E$28,4,FALSE)</f>
        <v>9975490</v>
      </c>
      <c r="M3" s="1">
        <f>VLOOKUP(B3,'Search Volume'!$A$2:$E$28,5,FALSE)</f>
        <v>85740</v>
      </c>
      <c r="N3" s="1" t="e">
        <f>VLOOKUP(B3,'Search Volume'!$A$2:$C$14,6,FALSE)</f>
        <v>#REF!</v>
      </c>
      <c r="O3" s="91">
        <f>VLOOKUP(B3,'GDP Per Capita'!$A$1:$B$27,2,FALSE)</f>
        <v>49377.5643384379</v>
      </c>
      <c r="P3" s="68">
        <f>VLOOKUP(B3,StandardofLiving!$A$1:$B$27,2,FALSE)</f>
        <v>0.94</v>
      </c>
      <c r="Q3" s="92">
        <f>VLOOKUP(B3,MAS!$A$1:$B$27,2,FALSE)</f>
        <v>22037</v>
      </c>
      <c r="R3" s="66">
        <f>VLOOKUP(B3,GDP!$A$2:$D$28,3,FALSE)</f>
        <v>548.59799999999996</v>
      </c>
      <c r="S3" s="4">
        <f>VLOOKUP(B3,GDP!$A$2:$D$28,4,FALSE)</f>
        <v>2.1447496550786704E-2</v>
      </c>
      <c r="T3" s="85">
        <f>VLOOKUP(B3,DPI!$A$1:$B$27,2,FALSE)</f>
        <v>36020</v>
      </c>
      <c r="U3" s="2" t="e">
        <f>VLOOKUP(B3,'Cost of Media'!$A$1:$B$27,2,FALSE)</f>
        <v>#N/A</v>
      </c>
      <c r="V3" s="2">
        <v>17.325898806994001</v>
      </c>
      <c r="W3" s="4">
        <f t="shared" ref="W3:W10" si="0">V3/SUM($V$4:$V$27)</f>
        <v>5.4768484107572402E-2</v>
      </c>
      <c r="X3" s="102">
        <f>W3*$X$1</f>
        <v>1301299.1823959202</v>
      </c>
      <c r="Y3" s="41"/>
      <c r="AA3" s="41"/>
      <c r="AE3" s="41"/>
      <c r="AF3" s="41"/>
      <c r="AG3" s="41"/>
      <c r="AH3" s="41"/>
      <c r="AI3" s="42"/>
      <c r="AJ3" s="41"/>
      <c r="AK3" s="41"/>
      <c r="AL3" s="41"/>
      <c r="AR3" s="43"/>
      <c r="AS3" s="43"/>
      <c r="AT3" s="44"/>
      <c r="AU3" s="44"/>
      <c r="AV3" s="44"/>
      <c r="AW3" s="44"/>
      <c r="AX3" s="44"/>
      <c r="AY3" s="44"/>
      <c r="AZ3" s="44"/>
    </row>
    <row r="4" spans="1:52">
      <c r="B4" s="6" t="s">
        <v>229</v>
      </c>
      <c r="C4" s="1">
        <f>VLOOKUP(B4,Trips!$A$1:$B$27,2,FALSE)</f>
        <v>704.9</v>
      </c>
      <c r="D4" s="1" t="e">
        <f>VLOOKUP(B4,Spend!$A$1:$B$27,2,FALSE)</f>
        <v>#N/A</v>
      </c>
      <c r="E4" s="1">
        <f>VLOOKUP(B4,'Tourist Departures'!$A$1:$B$27,2,FALSE)</f>
        <v>170930093.75</v>
      </c>
      <c r="F4" s="88">
        <f>VLOOKUP(B4,'Minimum Wage'!$A$1:$B$27,2,FALSE)</f>
        <v>7.25</v>
      </c>
      <c r="G4" s="89">
        <f>VLOOKUP(B4,NoofMillionaires!$A$1:$B$27,2,FALSE)</f>
        <v>24480000</v>
      </c>
      <c r="H4" s="65">
        <f>VLOOKUP(B4,'Inflation Rate'!$A$1:$B$27,2,FALSE)</f>
        <v>3.1E-2</v>
      </c>
      <c r="I4" s="66">
        <f>VLOOKUP(B4,Population!$A$1:$B$27,2,FALSE)</f>
        <v>347402264</v>
      </c>
      <c r="J4" s="66">
        <f>VLOOKUP(B4,'Search Volume'!$A$2:$C$28,2,FALSE)</f>
        <v>3036780</v>
      </c>
      <c r="K4" s="1">
        <f>VLOOKUP(B4,'Search Volume'!$A$2:$C$28,3,FALSE)</f>
        <v>70340</v>
      </c>
      <c r="L4" s="1">
        <f>VLOOKUP(B4,'Search Volume'!$A$2:$E$28,4,FALSE)</f>
        <v>2947460</v>
      </c>
      <c r="M4" s="1">
        <f>VLOOKUP(B4,'Search Volume'!$A$2:$E$28,5,FALSE)</f>
        <v>48810</v>
      </c>
      <c r="N4" s="1" t="e">
        <f>VLOOKUP(B4,'Search Volume'!$A$2:$C$14,6,FALSE)</f>
        <v>#REF!</v>
      </c>
      <c r="O4" s="91">
        <f>VLOOKUP(B4,'GDP Per Capita'!$A$1:$B$27,2,FALSE)</f>
        <v>85809.900384635606</v>
      </c>
      <c r="P4" s="68">
        <f>VLOOKUP(B4,StandardofLiving!$A$1:$B$27,2,FALSE)</f>
        <v>0.93799999999999994</v>
      </c>
      <c r="Q4" s="92">
        <f>VLOOKUP(B4,MAS!$A$1:$B$27,2,FALSE)</f>
        <v>67468</v>
      </c>
      <c r="R4" s="66">
        <f>VLOOKUP(B4,GDP!$A$2:$D$28,3,FALSE)</f>
        <v>30507</v>
      </c>
      <c r="S4" s="4">
        <f>VLOOKUP(B4,GDP!$A$2:$D$28,4,FALSE)</f>
        <v>4.5333059210526327E-2</v>
      </c>
      <c r="T4" s="85">
        <f>VLOOKUP(B4,DPI!$A$1:$B$27,2,FALSE)</f>
        <v>60944</v>
      </c>
      <c r="U4" s="2" t="e">
        <f>VLOOKUP(B4,'Cost of Media'!$A$1:$B$27,2,FALSE)</f>
        <v>#N/A</v>
      </c>
      <c r="V4" s="2">
        <v>18.325898806993983</v>
      </c>
      <c r="W4" s="4">
        <f t="shared" si="0"/>
        <v>5.7929560177430485E-2</v>
      </c>
      <c r="X4" s="102">
        <f>W4*$X$1</f>
        <v>1376406.3498157484</v>
      </c>
      <c r="Y4" s="45"/>
      <c r="Z4" s="45"/>
      <c r="AA4" s="46"/>
      <c r="AE4" s="47"/>
      <c r="AF4" s="48"/>
      <c r="AG4" s="48"/>
      <c r="AH4" s="48"/>
      <c r="AI4" s="49"/>
      <c r="AJ4" s="48"/>
      <c r="AK4" s="48"/>
      <c r="AL4" s="48"/>
      <c r="AM4" s="50"/>
      <c r="AN4" s="48"/>
      <c r="AO4" s="51"/>
      <c r="AP4" s="48"/>
      <c r="AX4" s="52"/>
      <c r="AY4" s="52"/>
    </row>
    <row r="5" spans="1:52" s="70" customFormat="1">
      <c r="A5" s="70" t="s">
        <v>233</v>
      </c>
      <c r="B5" s="6" t="s">
        <v>230</v>
      </c>
      <c r="C5" s="1">
        <f>VLOOKUP(B5,Trips!$A$1:$B$27,2,FALSE)</f>
        <v>1245.0999999999999</v>
      </c>
      <c r="D5" s="1" t="e">
        <f>VLOOKUP(B5,Spend!$A$1:$B$27,2,FALSE)</f>
        <v>#N/A</v>
      </c>
      <c r="E5" s="1">
        <f>VLOOKUP(B5,'Tourist Departures'!$A$1:$B$27,2,FALSE)</f>
        <v>93086000</v>
      </c>
      <c r="F5" s="88">
        <f>VLOOKUP(B5,'Minimum Wage'!$A$1:$B$27,2,FALSE)</f>
        <v>14.3</v>
      </c>
      <c r="G5" s="89">
        <f>VLOOKUP(B5,NoofMillionaires!$A$1:$B$27,2,FALSE)</f>
        <v>2849000</v>
      </c>
      <c r="H5" s="65">
        <f>VLOOKUP(B5,'Inflation Rate'!$A$1:$B$27,2,FALSE)</f>
        <v>2.9000000000000001E-2</v>
      </c>
      <c r="I5" s="66">
        <f>VLOOKUP(B5,Population!$A$1:$B$27,2,FALSE)</f>
        <v>69579448</v>
      </c>
      <c r="J5" s="66">
        <f>VLOOKUP(B5,'Search Volume'!$A$2:$C$28,2,FALSE)</f>
        <v>2248410</v>
      </c>
      <c r="K5" s="1">
        <f>VLOOKUP(B5,'Search Volume'!$A$2:$C$28,3,FALSE)</f>
        <v>169080</v>
      </c>
      <c r="L5" s="1">
        <f>VLOOKUP(B5,'Search Volume'!$A$2:$E$28,4,FALSE)</f>
        <v>1782130</v>
      </c>
      <c r="M5" s="1">
        <f>VLOOKUP(B5,'Search Volume'!$A$2:$E$28,5,FALSE)</f>
        <v>136400</v>
      </c>
      <c r="N5" s="71" t="e">
        <f>VLOOKUP(B5,'Search Volume'!$A$2:$C$14,6,FALSE)</f>
        <v>#REF!</v>
      </c>
      <c r="O5" s="91">
        <f>VLOOKUP(B5,'GDP Per Capita'!$A$1:$B$27,2,FALSE)</f>
        <v>52636.786594385303</v>
      </c>
      <c r="P5" s="68">
        <f>VLOOKUP(B5,StandardofLiving!$A$1:$B$27,2,FALSE)</f>
        <v>0.94599999999999995</v>
      </c>
      <c r="Q5" s="92">
        <f>VLOOKUP(B5,MAS!$A$1:$B$27,2,FALSE)</f>
        <v>45486</v>
      </c>
      <c r="R5" s="66">
        <f>VLOOKUP(B5,GDP!$A$2:$D$28,3,FALSE)</f>
        <v>3839</v>
      </c>
      <c r="S5" s="4">
        <f>VLOOKUP(B5,GDP!$A$2:$D$28,4,FALSE)</f>
        <v>5.3512623490669542E-2</v>
      </c>
      <c r="T5" s="85">
        <f>VLOOKUP(B5,DPI!$A$1:$B$27,2,FALSE)</f>
        <v>36077</v>
      </c>
      <c r="U5" s="2" t="e">
        <f>VLOOKUP(B5,'Cost of Media'!$A$1:$B$27,2,FALSE)</f>
        <v>#N/A</v>
      </c>
      <c r="V5" s="72">
        <v>16.612230150364468</v>
      </c>
      <c r="W5" s="73">
        <f t="shared" si="0"/>
        <v>5.2512523195292982E-2</v>
      </c>
      <c r="X5" s="102">
        <f t="shared" ref="X5:X27" si="1">W5*$X$1</f>
        <v>1247697.5511201613</v>
      </c>
      <c r="Y5" s="74"/>
      <c r="Z5" s="74"/>
      <c r="AE5" s="75"/>
      <c r="AF5" s="76"/>
      <c r="AG5" s="76"/>
      <c r="AH5" s="76"/>
      <c r="AI5" s="77"/>
      <c r="AJ5" s="76"/>
      <c r="AK5" s="76"/>
      <c r="AL5" s="76"/>
      <c r="AM5" s="78"/>
      <c r="AN5" s="76"/>
      <c r="AO5" s="79"/>
      <c r="AP5" s="76"/>
      <c r="AR5" s="80"/>
      <c r="AS5" s="80"/>
      <c r="AT5" s="80"/>
      <c r="AU5" s="80"/>
      <c r="AV5" s="80"/>
      <c r="AW5" s="80"/>
      <c r="AX5" s="81"/>
      <c r="AY5" s="81"/>
      <c r="AZ5" s="80"/>
    </row>
    <row r="6" spans="1:52">
      <c r="B6" s="6" t="s">
        <v>187</v>
      </c>
      <c r="C6" s="1">
        <f>VLOOKUP(B6,Trips!$A$1:$B$27,2,FALSE)</f>
        <v>504.2</v>
      </c>
      <c r="D6" s="1">
        <f>VLOOKUP(B6,Spend!$A$1:$B$27,2,FALSE)</f>
        <v>430</v>
      </c>
      <c r="E6" s="1">
        <f>VLOOKUP(B6,'Tourist Departures'!$A$1:$B$27,2,FALSE)</f>
        <v>99533000</v>
      </c>
      <c r="F6" s="88">
        <f>VLOOKUP(B6,'Minimum Wage'!$A$1:$B$27,2,FALSE)</f>
        <v>13.85</v>
      </c>
      <c r="G6" s="89">
        <f>VLOOKUP(B6,NoofMillionaires!$A$1:$B$27,2,FALSE)</f>
        <v>2683000</v>
      </c>
      <c r="H6" s="65">
        <f>VLOOKUP(B6,'Inflation Rate'!$A$1:$B$27,2,FALSE)</f>
        <v>2.5999999999999999E-2</v>
      </c>
      <c r="I6" s="66">
        <f>VLOOKUP(B6,Population!$A$1:$B$27,2,FALSE)</f>
        <v>83600000</v>
      </c>
      <c r="J6" s="66">
        <f>VLOOKUP(B6,'Search Volume'!$A$2:$C$28,2,FALSE)</f>
        <v>1384090</v>
      </c>
      <c r="K6" s="1">
        <f>VLOOKUP(B6,'Search Volume'!$A$2:$C$28,3,FALSE)</f>
        <v>5530</v>
      </c>
      <c r="L6" s="1">
        <f>VLOOKUP(B6,'Search Volume'!$A$2:$E$28,4,FALSE)</f>
        <v>1351080</v>
      </c>
      <c r="M6" s="1">
        <f>VLOOKUP(B6,'Search Volume'!$A$2:$E$28,5,FALSE)</f>
        <v>3820</v>
      </c>
      <c r="N6" s="1" t="e">
        <f>VLOOKUP(B6,'Search Volume'!$A$2:$C$14,6,FALSE)</f>
        <v>#REF!</v>
      </c>
      <c r="O6" s="91">
        <f>VLOOKUP(B6,'GDP Per Capita'!$A$1:$B$27,2,FALSE)</f>
        <v>55800.219454941202</v>
      </c>
      <c r="P6" s="68">
        <f>VLOOKUP(B6,StandardofLiving!$A$1:$B$27,2,FALSE)</f>
        <v>0.95899999999999996</v>
      </c>
      <c r="Q6" s="92">
        <f>VLOOKUP(B6,MAS!$A$1:$B$27,2,FALSE)</f>
        <v>55055</v>
      </c>
      <c r="R6" s="66">
        <f>VLOOKUP(B6,GDP!$A$2:$D$28,3,FALSE)</f>
        <v>4744</v>
      </c>
      <c r="S6" s="4">
        <f>VLOOKUP(B6,GDP!$A$2:$D$28,4,FALSE)</f>
        <v>1.8462859596393377E-2</v>
      </c>
      <c r="T6" s="85">
        <f>VLOOKUP(B6,DPI!$A$1:$B$27,2,FALSE)</f>
        <v>42417</v>
      </c>
      <c r="U6" s="2" t="e">
        <f>VLOOKUP(B6,'Cost of Media'!$A$1:$B$27,2,FALSE)</f>
        <v>#N/A</v>
      </c>
      <c r="V6" s="2">
        <v>12.163844072719316</v>
      </c>
      <c r="W6" s="4">
        <f t="shared" si="0"/>
        <v>3.8450836415758784E-2</v>
      </c>
      <c r="X6" s="102">
        <f t="shared" si="1"/>
        <v>913591.87323842873</v>
      </c>
      <c r="Y6" s="45"/>
      <c r="Z6" s="45"/>
      <c r="AE6" s="47"/>
      <c r="AF6" s="48"/>
      <c r="AG6" s="48"/>
      <c r="AH6" s="48"/>
      <c r="AI6" s="49"/>
      <c r="AJ6" s="48"/>
      <c r="AK6" s="48"/>
      <c r="AL6" s="48"/>
      <c r="AM6" s="50"/>
      <c r="AN6" s="48"/>
      <c r="AO6" s="51"/>
      <c r="AP6" s="48"/>
      <c r="AX6" s="52"/>
      <c r="AY6" s="52"/>
    </row>
    <row r="7" spans="1:52">
      <c r="B7" s="6" t="s">
        <v>167</v>
      </c>
      <c r="C7" s="1">
        <f>VLOOKUP(B7,Trips!$A$1:$B$27,2,FALSE)</f>
        <v>433.9</v>
      </c>
      <c r="D7" s="1">
        <f>VLOOKUP(B7,Spend!$A$1:$B$27,2,FALSE)</f>
        <v>362</v>
      </c>
      <c r="E7" s="1">
        <f>VLOOKUP(B7,'Tourist Departures'!$A$1:$B$27,2,FALSE)</f>
        <v>49276000</v>
      </c>
      <c r="F7" s="88">
        <f>VLOOKUP(B7,'Minimum Wage'!$A$1:$B$27,2,FALSE)</f>
        <v>12.96</v>
      </c>
      <c r="G7" s="89">
        <f>VLOOKUP(B7,NoofMillionaires!$A$1:$B$27,2,FALSE)</f>
        <v>2796000</v>
      </c>
      <c r="H7" s="65">
        <f>VLOOKUP(B7,'Inflation Rate'!$A$1:$B$27,2,FALSE)</f>
        <v>2.8000000000000001E-2</v>
      </c>
      <c r="I7" s="66">
        <f>VLOOKUP(B7,Population!$A$1:$B$27,2,FALSE)</f>
        <v>66658005</v>
      </c>
      <c r="J7" s="66">
        <f>VLOOKUP(B7,'Search Volume'!$A$2:$C$28,2,FALSE)</f>
        <v>1319680</v>
      </c>
      <c r="K7" s="1">
        <f>VLOOKUP(B7,'Search Volume'!$A$2:$C$28,3,FALSE)</f>
        <v>4240</v>
      </c>
      <c r="L7" s="1">
        <f>VLOOKUP(B7,'Search Volume'!$A$2:$E$28,4,FALSE)</f>
        <v>1175450</v>
      </c>
      <c r="M7" s="1">
        <f>VLOOKUP(B7,'Search Volume'!$A$2:$E$28,5,FALSE)</f>
        <v>2830</v>
      </c>
      <c r="N7" s="1" t="e">
        <f>VLOOKUP(B7,'Search Volume'!$A$2:$C$14,6,FALSE)</f>
        <v>#REF!</v>
      </c>
      <c r="O7" s="91">
        <f>VLOOKUP(B7,'GDP Per Capita'!$A$1:$B$27,2,FALSE)</f>
        <v>46150.4876861593</v>
      </c>
      <c r="P7" s="68">
        <f>VLOOKUP(B7,StandardofLiving!$A$1:$B$27,2,FALSE)</f>
        <v>0.92</v>
      </c>
      <c r="Q7" s="92">
        <f>VLOOKUP(B7,MAS!$A$1:$B$27,2,FALSE)</f>
        <v>48072</v>
      </c>
      <c r="R7" s="66">
        <f>VLOOKUP(B7,GDP!$A$2:$D$28,3,FALSE)</f>
        <v>3211</v>
      </c>
      <c r="S7" s="4">
        <f>VLOOKUP(B7,GDP!$A$2:$D$28,4,FALSE)</f>
        <v>1.5496521189120704E-2</v>
      </c>
      <c r="T7" s="85">
        <f>VLOOKUP(B7,DPI!$A$1:$B$27,2,FALSE)</f>
        <v>35001</v>
      </c>
      <c r="U7" s="2">
        <f>VLOOKUP(B7,'Cost of Media'!$A$1:$B$27,2,FALSE)</f>
        <v>4.2772723585232444E-2</v>
      </c>
      <c r="V7" s="2">
        <v>8.9095183491351904</v>
      </c>
      <c r="W7" s="4">
        <f t="shared" si="0"/>
        <v>2.8163665247413233E-2</v>
      </c>
      <c r="X7" s="102">
        <f t="shared" si="1"/>
        <v>669168.68627853843</v>
      </c>
      <c r="Y7" s="45"/>
      <c r="Z7" s="45"/>
      <c r="AA7" s="46"/>
      <c r="AE7" s="47"/>
      <c r="AF7" s="48"/>
      <c r="AG7" s="48"/>
      <c r="AH7" s="48"/>
      <c r="AI7" s="49"/>
      <c r="AJ7" s="48"/>
      <c r="AK7" s="48"/>
      <c r="AL7" s="48"/>
      <c r="AM7" s="50"/>
      <c r="AN7" s="48"/>
      <c r="AO7" s="51"/>
      <c r="AP7" s="48"/>
      <c r="AX7" s="52"/>
      <c r="AY7" s="52"/>
    </row>
    <row r="8" spans="1:52">
      <c r="B8" s="67" t="s">
        <v>90</v>
      </c>
      <c r="C8" s="1">
        <f>VLOOKUP(B8,Trips!$A$1:$B$27,2,FALSE)</f>
        <v>170</v>
      </c>
      <c r="D8" s="1" t="e">
        <f>VLOOKUP(B8,Spend!$A$1:$B$27,2,FALSE)</f>
        <v>#N/A</v>
      </c>
      <c r="E8" s="1">
        <f>VLOOKUP(B8,'Tourist Departures'!$A$1:$B$27,2,FALSE)</f>
        <v>43066000</v>
      </c>
      <c r="F8" s="88">
        <f>VLOOKUP(B8,'Minimum Wage'!$A$1:$B$27,2,FALSE)</f>
        <v>0.73</v>
      </c>
      <c r="G8" s="89">
        <f>VLOOKUP(B8,NoofMillionaires!$A$1:$B$27,2,FALSE)</f>
        <v>87000</v>
      </c>
      <c r="H8" s="65">
        <f>VLOOKUP(B8,'Inflation Rate'!$A$1:$B$27,2,FALSE)</f>
        <v>0.28199999999999997</v>
      </c>
      <c r="I8" s="66">
        <f>VLOOKUP(B8,Population!$A$1:$B$27,2,FALSE)</f>
        <v>116275465</v>
      </c>
      <c r="J8" s="66">
        <f>VLOOKUP(B8,'Search Volume'!$A$2:$C$28,2,FALSE)</f>
        <v>172870</v>
      </c>
      <c r="K8" s="1">
        <f>VLOOKUP(B8,'Search Volume'!$A$2:$C$28,3,FALSE)</f>
        <v>14650</v>
      </c>
      <c r="L8" s="1">
        <f>VLOOKUP(B8,'Search Volume'!$A$2:$E$28,4,FALSE)</f>
        <v>149110</v>
      </c>
      <c r="M8" s="1">
        <f>VLOOKUP(B8,'Search Volume'!$A$2:$E$28,5,FALSE)</f>
        <v>8400</v>
      </c>
      <c r="N8" s="1" t="e">
        <f>VLOOKUP(B8,'Search Volume'!$A$2:$C$14,6,FALSE)</f>
        <v>#REF!</v>
      </c>
      <c r="O8" s="91">
        <f>VLOOKUP(B8,'GDP Per Capita'!$A$1:$B$27,2,FALSE)</f>
        <v>3338.4737139589502</v>
      </c>
      <c r="P8" s="68">
        <f>VLOOKUP(B8,StandardofLiving!$A$1:$B$27,2,FALSE)</f>
        <v>0.754</v>
      </c>
      <c r="Q8" s="92">
        <f>VLOOKUP(B8,MAS!$A$1:$B$27,2,FALSE)</f>
        <v>12500</v>
      </c>
      <c r="R8" s="66">
        <f>VLOOKUP(B8,GDP!$A$2:$D$28,3,FALSE)</f>
        <v>347.34199999999998</v>
      </c>
      <c r="S8" s="4">
        <f>VLOOKUP(B8,GDP!$A$2:$D$28,4,FALSE)</f>
        <v>-9.3359853201047227E-2</v>
      </c>
      <c r="T8" s="85">
        <f>VLOOKUP(B8,DPI!$A$1:$B$27,2,FALSE)</f>
        <v>2072</v>
      </c>
      <c r="U8" s="2" t="e">
        <f>VLOOKUP(B8,'Cost of Media'!$A$1:$B$27,2,FALSE)</f>
        <v>#N/A</v>
      </c>
      <c r="V8" s="2">
        <v>7.4276786446881733</v>
      </c>
      <c r="W8" s="4">
        <f t="shared" si="0"/>
        <v>2.3479457218320114E-2</v>
      </c>
      <c r="X8" s="102">
        <f t="shared" si="1"/>
        <v>557871.90350728587</v>
      </c>
      <c r="Y8" s="45"/>
      <c r="Z8" s="45"/>
      <c r="AE8" s="47"/>
      <c r="AF8" s="48"/>
      <c r="AG8" s="48"/>
      <c r="AH8" s="48"/>
      <c r="AI8" s="49"/>
      <c r="AJ8" s="48"/>
      <c r="AK8" s="48"/>
      <c r="AL8" s="48"/>
      <c r="AM8" s="50"/>
      <c r="AN8" s="48"/>
      <c r="AO8" s="51"/>
      <c r="AP8" s="48"/>
      <c r="AX8" s="52"/>
      <c r="AY8" s="52"/>
    </row>
    <row r="9" spans="1:52">
      <c r="B9" s="67" t="s">
        <v>323</v>
      </c>
      <c r="C9" s="1">
        <f>VLOOKUP(B9,Trips!$A$1:$B$27,2,FALSE)</f>
        <v>74</v>
      </c>
      <c r="D9" s="1" t="e">
        <f>VLOOKUP(B9,Spend!$A$1:$B$27,2,FALSE)</f>
        <v>#N/A</v>
      </c>
      <c r="E9" s="1">
        <f>VLOOKUP(B9,'Tourist Departures'!$A$1:$B$27,2,FALSE)</f>
        <v>10707000</v>
      </c>
      <c r="F9" s="88">
        <f>VLOOKUP(B9,'Minimum Wage'!$A$1:$B$27,2,FALSE)</f>
        <v>1.0900000000000001</v>
      </c>
      <c r="G9" s="89">
        <f>VLOOKUP(B9,NoofMillionaires!$A$1:$B$27,2,FALSE)</f>
        <v>44307</v>
      </c>
      <c r="H9" s="65">
        <f>VLOOKUP(B9,'Inflation Rate'!$A$1:$B$27,2,FALSE)</f>
        <v>8.6999999999999994E-2</v>
      </c>
      <c r="I9" s="66">
        <f>VLOOKUP(B9,Population!$A$1:$B$27,2,FALSE)</f>
        <v>20370672</v>
      </c>
      <c r="J9" s="66">
        <f>VLOOKUP(B9,'Search Volume'!$A$2:$C$28,2,FALSE)</f>
        <v>71900</v>
      </c>
      <c r="K9" s="1">
        <f>VLOOKUP(B9,'Search Volume'!$A$2:$C$28,3,FALSE)</f>
        <v>290</v>
      </c>
      <c r="L9" s="1">
        <f>VLOOKUP(B9,'Search Volume'!$A$2:$E$28,4,FALSE)</f>
        <v>47810</v>
      </c>
      <c r="M9" s="1">
        <f>VLOOKUP(B9,'Search Volume'!$A$2:$E$28,5,FALSE)</f>
        <v>190</v>
      </c>
      <c r="N9" s="1" t="e">
        <f>VLOOKUP(B9,'Search Volume'!$A$2:$C$14,6,FALSE)</f>
        <v>#N/A</v>
      </c>
      <c r="O9" s="91">
        <f>VLOOKUP(B9,'GDP Per Capita'!$A$1:$B$27,2,FALSE)</f>
        <v>3161.7001063287498</v>
      </c>
      <c r="P9" s="68">
        <f>VLOOKUP(B9,StandardofLiving!$A$1:$B$27,2,FALSE)</f>
        <v>0.74</v>
      </c>
      <c r="Q9" s="92">
        <f>VLOOKUP(B9,MAS!$A$1:$B$27,2,FALSE)</f>
        <v>13348</v>
      </c>
      <c r="R9" s="66">
        <f>VLOOKUP(B9,GDP!$A$2:$D$28,3,FALSE)</f>
        <v>300.53800000000001</v>
      </c>
      <c r="S9" s="4">
        <f>VLOOKUP(B9,GDP!$A$2:$D$28,4,FALSE)</f>
        <v>5.5222780099013491E-2</v>
      </c>
      <c r="T9" s="85">
        <f>VLOOKUP(B9,DPI!$A$1:$B$27,2,FALSE)</f>
        <v>9660</v>
      </c>
      <c r="U9" s="2">
        <f>VLOOKUP(B9,'Cost of Media'!$A$1:$B$27,2,FALSE)</f>
        <v>0</v>
      </c>
      <c r="V9" s="2">
        <v>6.8810568893062252</v>
      </c>
      <c r="W9" s="4">
        <f t="shared" si="0"/>
        <v>2.1751544268118386E-2</v>
      </c>
      <c r="X9" s="102">
        <f t="shared" si="1"/>
        <v>516816.69181049283</v>
      </c>
      <c r="Y9" s="45"/>
      <c r="Z9" s="45"/>
      <c r="AE9" s="47"/>
      <c r="AF9" s="48"/>
      <c r="AG9" s="48"/>
      <c r="AH9" s="48"/>
      <c r="AI9" s="49"/>
      <c r="AJ9" s="48"/>
      <c r="AK9" s="48"/>
      <c r="AL9" s="48"/>
      <c r="AM9" s="50"/>
      <c r="AN9" s="48"/>
      <c r="AO9" s="51"/>
      <c r="AP9" s="48"/>
      <c r="AX9" s="52"/>
      <c r="AY9" s="52"/>
    </row>
    <row r="10" spans="1:52">
      <c r="B10" s="67" t="s">
        <v>161</v>
      </c>
      <c r="C10" s="1">
        <f>VLOOKUP(B10,Trips!$A$1:$B$27,2,FALSE)</f>
        <v>52.4</v>
      </c>
      <c r="D10" s="1" t="e">
        <f>VLOOKUP(B10,Spend!$A$1:$B$27,2,FALSE)</f>
        <v>#N/A</v>
      </c>
      <c r="E10" s="1">
        <f>VLOOKUP(B10,'Tourist Departures'!$A$1:$B$27,2,FALSE)</f>
        <v>2950000</v>
      </c>
      <c r="F10" s="88">
        <f>VLOOKUP(B10,'Minimum Wage'!$A$1:$B$27,2,FALSE)</f>
        <v>7</v>
      </c>
      <c r="G10" s="89">
        <f>VLOOKUP(B10,NoofMillionaires!$A$1:$B$27,2,FALSE)</f>
        <v>25000</v>
      </c>
      <c r="H10" s="65">
        <f>VLOOKUP(B10,'Inflation Rate'!$A$1:$B$27,2,FALSE)</f>
        <v>2.1000000000000001E-2</v>
      </c>
      <c r="I10" s="66">
        <f>VLOOKUP(B10,Population!$A$1:$B$27,2,FALSE)</f>
        <v>1588670</v>
      </c>
      <c r="J10" s="66">
        <f>VLOOKUP(B10,'Search Volume'!$A$2:$C$28,2,FALSE)</f>
        <v>94410</v>
      </c>
      <c r="K10" s="1">
        <f>VLOOKUP(B10,'Search Volume'!$A$2:$C$28,3,FALSE)</f>
        <v>12270</v>
      </c>
      <c r="L10" s="1">
        <f>VLOOKUP(B10,'Search Volume'!$A$2:$E$28,4,FALSE)</f>
        <v>87090</v>
      </c>
      <c r="M10" s="1">
        <f>VLOOKUP(B10,'Search Volume'!$A$2:$E$28,5,FALSE)</f>
        <v>12260</v>
      </c>
      <c r="N10" s="1" t="e">
        <f>VLOOKUP(B10,'Search Volume'!$A$2:$C$14,6,FALSE)</f>
        <v>#N/A</v>
      </c>
      <c r="O10" s="91">
        <f>VLOOKUP(B10,'GDP Per Capita'!$A$1:$B$27,2,FALSE)</f>
        <v>30048.2177718844</v>
      </c>
      <c r="P10" s="68">
        <f>VLOOKUP(B10,StandardofLiving!$A$1:$B$27,2,FALSE)</f>
        <v>0.89900000000000002</v>
      </c>
      <c r="Q10" s="92">
        <f>VLOOKUP(B10,MAS!$A$1:$B$27,2,FALSE)</f>
        <v>56393</v>
      </c>
      <c r="R10" s="66">
        <f>VLOOKUP(B10,GDP!$A$2:$D$28,3,FALSE)</f>
        <v>47.829000000000001</v>
      </c>
      <c r="S10" s="4">
        <f>VLOOKUP(B10,GDP!$A$2:$D$28,4,FALSE)</f>
        <v>1.8873953518096398E-2</v>
      </c>
      <c r="T10" s="85">
        <f>VLOOKUP(B10,DPI!$A$1:$B$27,2,FALSE)</f>
        <v>25947</v>
      </c>
      <c r="U10" s="2">
        <f>VLOOKUP(B10,'Cost of Media'!$A$1:$B$27,2,FALSE)</f>
        <v>0</v>
      </c>
      <c r="V10" s="2">
        <v>9.2950082326829815</v>
      </c>
      <c r="W10" s="4">
        <f t="shared" si="0"/>
        <v>2.9382228093468556E-2</v>
      </c>
      <c r="X10" s="102">
        <f t="shared" si="1"/>
        <v>698121.73950081284</v>
      </c>
      <c r="Y10" s="45"/>
      <c r="Z10" s="45"/>
      <c r="AE10" s="47"/>
      <c r="AF10" s="48"/>
      <c r="AG10" s="48"/>
      <c r="AH10" s="48"/>
      <c r="AI10" s="49"/>
      <c r="AJ10" s="48"/>
      <c r="AK10" s="48"/>
      <c r="AL10" s="48"/>
      <c r="AM10" s="50"/>
      <c r="AN10" s="48"/>
      <c r="AO10" s="51"/>
      <c r="AP10" s="48"/>
      <c r="AX10" s="52"/>
      <c r="AY10" s="52"/>
    </row>
    <row r="11" spans="1:52">
      <c r="B11" s="67" t="s">
        <v>154</v>
      </c>
      <c r="C11" s="1">
        <f>VLOOKUP(B11,Trips!$A$1:$B$27,2,FALSE)</f>
        <v>0</v>
      </c>
      <c r="D11" s="1" t="e">
        <f>VLOOKUP(B11,Spend!$A$1:$B$27,2,FALSE)</f>
        <v>#N/A</v>
      </c>
      <c r="E11" s="1">
        <f>VLOOKUP(B11,'Tourist Departures'!$A$1:$B$27,2,FALSE)</f>
        <v>3550000</v>
      </c>
      <c r="F11" s="88">
        <f>VLOOKUP(B11,'Minimum Wage'!$A$1:$B$27,2,FALSE)</f>
        <v>1.59</v>
      </c>
      <c r="G11" s="89">
        <f>VLOOKUP(B11,NoofMillionaires!$A$1:$B$27,2,FALSE)</f>
        <v>36000</v>
      </c>
      <c r="H11" s="65">
        <f>VLOOKUP(B11,'Inflation Rate'!$A$1:$B$27,2,FALSE)</f>
        <v>2.4E-2</v>
      </c>
      <c r="I11" s="66">
        <f>VLOOKUP(B11,Population!$A$1:$B$27,2,FALSE)</f>
        <v>2757220</v>
      </c>
      <c r="J11" s="66">
        <f>VLOOKUP(B11,'Search Volume'!$A$2:$C$28,2,FALSE)</f>
        <v>139980</v>
      </c>
      <c r="K11" s="1">
        <f>VLOOKUP(B11,'Search Volume'!$A$2:$C$28,3,FALSE)</f>
        <v>16220</v>
      </c>
      <c r="L11" s="1">
        <f>VLOOKUP(B11,'Search Volume'!$A$2:$E$28,4,FALSE)</f>
        <v>98020</v>
      </c>
      <c r="M11" s="1">
        <f>VLOOKUP(B11,'Search Volume'!$A$2:$E$28,5,FALSE)</f>
        <v>14480</v>
      </c>
      <c r="N11" s="1" t="e">
        <f>VLOOKUP(B11,'Search Volume'!$A$2:$C$14,6,FALSE)</f>
        <v>#N/A</v>
      </c>
      <c r="O11" s="91">
        <f>VLOOKUP(B11,'GDP Per Capita'!$A$1:$B$27,2,FALSE)</f>
        <v>76275.9076782833</v>
      </c>
      <c r="P11" s="68">
        <f>VLOOKUP(B11,StandardofLiving!$A$1:$B$27,2,FALSE)</f>
        <v>0.88600000000000001</v>
      </c>
      <c r="Q11" s="92">
        <f>VLOOKUP(B11,MAS!$A$1:$B$27,2,FALSE)</f>
        <v>45560</v>
      </c>
      <c r="R11" s="66">
        <f>VLOOKUP(B11,GDP!$A$2:$D$28,3,FALSE)</f>
        <v>222.77600000000001</v>
      </c>
      <c r="S11" s="4">
        <f>VLOOKUP(B11,GDP!$A$2:$D$28,4,FALSE)</f>
        <v>5.9787222513232319E-3</v>
      </c>
      <c r="T11" s="85">
        <f>VLOOKUP(B11,DPI!$A$1:$B$27,2,FALSE)</f>
        <v>17459</v>
      </c>
      <c r="U11" s="2" t="e">
        <f>VLOOKUP(B11,'Cost of Media'!$A$1:$B$27,2,FALSE)</f>
        <v>#N/A</v>
      </c>
      <c r="V11" s="2">
        <v>10.295008232682999</v>
      </c>
      <c r="W11" s="4">
        <f t="shared" ref="W11:W22" si="2">V11/SUM($V$4:$V$27)</f>
        <v>3.254330416332675E-2</v>
      </c>
      <c r="X11" s="102">
        <f t="shared" ref="X11:X22" si="3">W11*$X$1</f>
        <v>773228.90692064352</v>
      </c>
      <c r="Y11" s="45"/>
      <c r="Z11" s="45"/>
      <c r="AE11" s="47"/>
      <c r="AF11" s="48"/>
      <c r="AG11" s="48"/>
      <c r="AH11" s="48"/>
      <c r="AI11" s="49"/>
      <c r="AJ11" s="48"/>
      <c r="AK11" s="48"/>
      <c r="AL11" s="48"/>
      <c r="AM11" s="50"/>
      <c r="AN11" s="48"/>
      <c r="AO11" s="51"/>
      <c r="AP11" s="48"/>
      <c r="AX11" s="52"/>
      <c r="AY11" s="52"/>
    </row>
    <row r="12" spans="1:52">
      <c r="B12" s="67" t="s">
        <v>177</v>
      </c>
      <c r="C12" s="1">
        <f>VLOOKUP(B12,Trips!$A$1:$B$27,2,FALSE)</f>
        <v>59</v>
      </c>
      <c r="D12" s="1">
        <f>VLOOKUP(B12,Spend!$A$1:$B$27,2,FALSE)</f>
        <v>255</v>
      </c>
      <c r="E12" s="1">
        <f>VLOOKUP(B12,'Tourist Departures'!$A$1:$B$27,2,FALSE)</f>
        <v>37845898.4375</v>
      </c>
      <c r="F12" s="88">
        <f>VLOOKUP(B12,'Minimum Wage'!$A$1:$B$27,2,FALSE)</f>
        <v>12.63</v>
      </c>
      <c r="G12" s="89">
        <f>VLOOKUP(B12,NoofMillionaires!$A$1:$B$27,2,FALSE)</f>
        <v>2291000</v>
      </c>
      <c r="H12" s="65">
        <f>VLOOKUP(B12,'Inflation Rate'!$A$1:$B$27,2,FALSE)</f>
        <v>2.9000000000000001E-2</v>
      </c>
      <c r="I12" s="66">
        <f>VLOOKUP(B12,Population!$A$1:$B$27,2,FALSE)</f>
        <v>41500000</v>
      </c>
      <c r="J12" s="66">
        <f>VLOOKUP(B12,'Search Volume'!$A$2:$C$28,2,FALSE)</f>
        <v>604940</v>
      </c>
      <c r="K12" s="1">
        <f>VLOOKUP(B12,'Search Volume'!$A$2:$C$28,3,FALSE)</f>
        <v>9120</v>
      </c>
      <c r="L12" s="1">
        <f>VLOOKUP(B12,'Search Volume'!$A$2:$E$28,4,FALSE)</f>
        <v>575590</v>
      </c>
      <c r="M12" s="1">
        <f>VLOOKUP(B12,'Search Volume'!$A$2:$E$28,5,FALSE)</f>
        <v>6950</v>
      </c>
      <c r="N12" s="1" t="e">
        <f>VLOOKUP(B12,'Search Volume'!$A$2:$C$14,6,FALSE)</f>
        <v>#N/A</v>
      </c>
      <c r="O12" s="91">
        <f>VLOOKUP(B12,'GDP Per Capita'!$A$1:$B$27,2,FALSE)</f>
        <v>54282.617605173298</v>
      </c>
      <c r="P12" s="68">
        <f>VLOOKUP(B12,StandardofLiving!$A$1:$B$27,2,FALSE)</f>
        <v>0.93899999999999995</v>
      </c>
      <c r="Q12" s="92">
        <f>VLOOKUP(B12,MAS!$A$1:$B$27,2,FALSE)</f>
        <v>45345</v>
      </c>
      <c r="R12" s="66">
        <f>VLOOKUP(B12,GDP!$A$2:$D$28,3,FALSE)</f>
        <v>2225</v>
      </c>
      <c r="S12" s="4">
        <f>VLOOKUP(B12,GDP!$A$2:$D$28,4,FALSE)</f>
        <v>-7.1396697902722517E-3</v>
      </c>
      <c r="T12" s="85">
        <f>VLOOKUP(B12,DPI!$A$1:$B$27,2,FALSE)</f>
        <v>35561</v>
      </c>
      <c r="U12" s="2">
        <f>VLOOKUP(B12,'Cost of Media'!$A$1:$B$27,2,FALSE)</f>
        <v>3.1657955324411846E-2</v>
      </c>
      <c r="V12" s="2">
        <v>11.295008232682999</v>
      </c>
      <c r="W12" s="4">
        <f t="shared" si="2"/>
        <v>3.5704380233184889E-2</v>
      </c>
      <c r="X12" s="102">
        <f t="shared" si="3"/>
        <v>848336.07434047293</v>
      </c>
      <c r="Y12" s="45"/>
      <c r="Z12" s="45"/>
      <c r="AE12" s="47"/>
      <c r="AF12" s="48"/>
      <c r="AG12" s="48"/>
      <c r="AH12" s="48"/>
      <c r="AI12" s="49"/>
      <c r="AJ12" s="48"/>
      <c r="AK12" s="48"/>
      <c r="AL12" s="48"/>
      <c r="AM12" s="50"/>
      <c r="AN12" s="48"/>
      <c r="AO12" s="51"/>
      <c r="AP12" s="48"/>
      <c r="AX12" s="52"/>
      <c r="AY12" s="52"/>
    </row>
    <row r="13" spans="1:52">
      <c r="B13" s="67" t="s">
        <v>142</v>
      </c>
      <c r="C13" s="1">
        <f>VLOOKUP(B13,Trips!$A$1:$B$27,2,FALSE)</f>
        <v>35.1</v>
      </c>
      <c r="D13" s="1" t="e">
        <f>VLOOKUP(B13,Spend!$A$1:$B$27,2,FALSE)</f>
        <v>#N/A</v>
      </c>
      <c r="E13" s="1">
        <f>VLOOKUP(B13,'Tourist Departures'!$A$1:$B$27,2,FALSE)</f>
        <v>23066000</v>
      </c>
      <c r="F13" s="88">
        <f>VLOOKUP(B13,'Minimum Wage'!$A$1:$B$27,2,FALSE)</f>
        <v>4.1399999999999997</v>
      </c>
      <c r="G13" s="89">
        <f>VLOOKUP(B13,NoofMillionaires!$A$1:$B$27,2,FALSE)</f>
        <v>37000</v>
      </c>
      <c r="H13" s="65">
        <f>VLOOKUP(B13,'Inflation Rate'!$A$1:$B$27,2,FALSE)</f>
        <v>7.1999999999999995E-2</v>
      </c>
      <c r="I13" s="66">
        <f>VLOOKUP(B13,Population!$A$1:$B$27,2,FALSE)</f>
        <v>19424322</v>
      </c>
      <c r="J13" s="66">
        <f>VLOOKUP(B13,'Search Volume'!$A$2:$C$28,2,FALSE)</f>
        <v>286520</v>
      </c>
      <c r="K13" s="1">
        <f>VLOOKUP(B13,'Search Volume'!$A$2:$C$28,3,FALSE)</f>
        <v>760</v>
      </c>
      <c r="L13" s="1">
        <f>VLOOKUP(B13,'Search Volume'!$A$2:$E$28,4,FALSE)</f>
        <v>244350</v>
      </c>
      <c r="M13" s="1">
        <f>VLOOKUP(B13,'Search Volume'!$A$2:$E$28,5,FALSE)</f>
        <v>570</v>
      </c>
      <c r="N13" s="1" t="e">
        <f>VLOOKUP(B13,'Search Volume'!$A$2:$C$14,6,FALSE)</f>
        <v>#N/A</v>
      </c>
      <c r="O13" s="91">
        <f>VLOOKUP(B13,'GDP Per Capita'!$A$1:$B$27,2,FALSE)</f>
        <v>20072.4079244042</v>
      </c>
      <c r="P13" s="68">
        <f>VLOOKUP(B13,StandardofLiving!$A$1:$B$27,2,FALSE)</f>
        <v>0.84499999999999997</v>
      </c>
      <c r="Q13" s="92">
        <f>VLOOKUP(B13,MAS!$A$1:$B$27,2,FALSE)</f>
        <v>16660</v>
      </c>
      <c r="R13" s="66">
        <f>VLOOKUP(B13,GDP!$A$2:$D$28,3,FALSE)</f>
        <v>403</v>
      </c>
      <c r="S13" s="4">
        <f>VLOOKUP(B13,GDP!$A$2:$D$28,4,FALSE)</f>
        <v>1.2562814070351758E-2</v>
      </c>
      <c r="T13" s="85">
        <f>VLOOKUP(B13,DPI!$A$1:$B$27,2,FALSE)</f>
        <v>7532</v>
      </c>
      <c r="U13" s="2">
        <f>VLOOKUP(B13,'Cost of Media'!$A$1:$B$27,2,FALSE)</f>
        <v>0</v>
      </c>
      <c r="V13" s="2">
        <v>12.295008232682999</v>
      </c>
      <c r="W13" s="4">
        <f t="shared" si="2"/>
        <v>3.8865456303043028E-2</v>
      </c>
      <c r="X13" s="102">
        <f t="shared" si="3"/>
        <v>923443.24176030234</v>
      </c>
      <c r="Y13" s="45"/>
      <c r="Z13" s="45"/>
      <c r="AE13" s="47"/>
      <c r="AF13" s="48"/>
      <c r="AG13" s="48"/>
      <c r="AH13" s="48"/>
      <c r="AI13" s="49"/>
      <c r="AJ13" s="48"/>
      <c r="AK13" s="48"/>
      <c r="AL13" s="48"/>
      <c r="AM13" s="50"/>
      <c r="AN13" s="48"/>
      <c r="AO13" s="51"/>
      <c r="AP13" s="48"/>
      <c r="AX13" s="52"/>
      <c r="AY13" s="52"/>
    </row>
    <row r="14" spans="1:52">
      <c r="B14" s="67" t="s">
        <v>136</v>
      </c>
      <c r="C14" s="1">
        <f>VLOOKUP(B14,Trips!$A$1:$B$27,2,FALSE)</f>
        <v>1565.8</v>
      </c>
      <c r="D14" s="1" t="e">
        <f>VLOOKUP(B14,Spend!$A$1:$B$27,2,FALSE)</f>
        <v>#N/A</v>
      </c>
      <c r="E14" s="1">
        <f>VLOOKUP(B14,'Tourist Departures'!$A$1:$B$27,2,FALSE)</f>
        <v>6633000</v>
      </c>
      <c r="F14" s="88">
        <f>VLOOKUP(B14,'Minimum Wage'!$A$1:$B$27,2,FALSE)</f>
        <v>4.88</v>
      </c>
      <c r="G14" s="89">
        <f>VLOOKUP(B14,NoofMillionaires!$A$1:$B$27,2,FALSE)</f>
        <v>30000</v>
      </c>
      <c r="H14" s="65">
        <f>VLOOKUP(B14,'Inflation Rate'!$A$1:$B$27,2,FALSE)</f>
        <v>1.7999999999999999E-2</v>
      </c>
      <c r="I14" s="66">
        <f>VLOOKUP(B14,Population!$A$1:$B$27,2,FALSE)</f>
        <v>4780706</v>
      </c>
      <c r="J14" s="66">
        <f>VLOOKUP(B14,'Search Volume'!$A$2:$C$28,2,FALSE)</f>
        <v>139390</v>
      </c>
      <c r="K14" s="1">
        <f>VLOOKUP(B14,'Search Volume'!$A$2:$C$28,3,FALSE)</f>
        <v>1260</v>
      </c>
      <c r="L14" s="1">
        <f>VLOOKUP(B14,'Search Volume'!$A$2:$E$28,4,FALSE)</f>
        <v>98490</v>
      </c>
      <c r="M14" s="1">
        <f>VLOOKUP(B14,'Search Volume'!$A$2:$E$28,5,FALSE)</f>
        <v>1000</v>
      </c>
      <c r="N14" s="1" t="e">
        <f>VLOOKUP(B14,'Search Volume'!$A$2:$C$14,6,FALSE)</f>
        <v>#N/A</v>
      </c>
      <c r="O14" s="91">
        <f>VLOOKUP(B14,'GDP Per Capita'!$A$1:$B$27,2,FALSE)</f>
        <v>20248.4168124608</v>
      </c>
      <c r="P14" s="68">
        <f>VLOOKUP(B14,StandardofLiving!$A$1:$B$27,2,FALSE)</f>
        <v>0.85799999999999998</v>
      </c>
      <c r="Q14" s="92">
        <f>VLOOKUP(B14,MAS!$A$1:$B$27,2,FALSE)</f>
        <v>20470</v>
      </c>
      <c r="R14" s="66">
        <f>VLOOKUP(B14,GDP!$A$2:$D$28,3,FALSE)</f>
        <v>104.351</v>
      </c>
      <c r="S14" s="4">
        <f>VLOOKUP(B14,GDP!$A$2:$D$28,4,FALSE)</f>
        <v>-2.4237210476608984E-2</v>
      </c>
      <c r="T14" s="85">
        <f>VLOOKUP(B14,DPI!$A$1:$B$27,2,FALSE)</f>
        <v>16800</v>
      </c>
      <c r="U14" s="2" t="e">
        <f>VLOOKUP(B14,'Cost of Media'!$A$1:$B$27,2,FALSE)</f>
        <v>#N/A</v>
      </c>
      <c r="V14" s="2">
        <v>13.295008232682999</v>
      </c>
      <c r="W14" s="4">
        <f t="shared" si="2"/>
        <v>4.2026532372901167E-2</v>
      </c>
      <c r="X14" s="102">
        <f t="shared" si="3"/>
        <v>998550.40918013174</v>
      </c>
      <c r="Y14" s="45"/>
      <c r="Z14" s="45"/>
      <c r="AE14" s="47"/>
      <c r="AF14" s="48"/>
      <c r="AG14" s="48"/>
      <c r="AH14" s="48"/>
      <c r="AI14" s="49"/>
      <c r="AJ14" s="48"/>
      <c r="AK14" s="48"/>
      <c r="AL14" s="48"/>
      <c r="AM14" s="50"/>
      <c r="AN14" s="48"/>
      <c r="AO14" s="51"/>
      <c r="AP14" s="48"/>
      <c r="AX14" s="52"/>
      <c r="AY14" s="52"/>
    </row>
    <row r="15" spans="1:52">
      <c r="B15" s="67" t="s">
        <v>168</v>
      </c>
      <c r="C15" s="1">
        <f>VLOOKUP(B15,Trips!$A$1:$B$27,2,FALSE)</f>
        <v>52.8</v>
      </c>
      <c r="D15" s="1">
        <f>VLOOKUP(B15,Spend!$A$1:$B$27,2,FALSE)</f>
        <v>264</v>
      </c>
      <c r="E15" s="1">
        <f>VLOOKUP(B15,'Tourist Departures'!$A$1:$B$27,2,FALSE)</f>
        <v>22816000</v>
      </c>
      <c r="F15" s="88">
        <f>VLOOKUP(B15,'Minimum Wage'!$A$1:$B$27,2,FALSE)</f>
        <v>8.24</v>
      </c>
      <c r="G15" s="89">
        <f>VLOOKUP(B15,NoofMillionaires!$A$1:$B$27,2,FALSE)</f>
        <v>1132000</v>
      </c>
      <c r="H15" s="65">
        <f>VLOOKUP(B15,'Inflation Rate'!$A$1:$B$27,2,FALSE)</f>
        <v>3.4000000000000002E-2</v>
      </c>
      <c r="I15" s="66">
        <f>VLOOKUP(B15,Population!$A$1:$B$27,2,FALSE)</f>
        <v>47420024</v>
      </c>
      <c r="J15" s="66">
        <f>VLOOKUP(B15,'Search Volume'!$A$2:$C$28,2,FALSE)</f>
        <v>641800</v>
      </c>
      <c r="K15" s="1">
        <f>VLOOKUP(B15,'Search Volume'!$A$2:$C$28,3,FALSE)</f>
        <v>2170</v>
      </c>
      <c r="L15" s="1">
        <f>VLOOKUP(B15,'Search Volume'!$A$2:$E$28,4,FALSE)</f>
        <v>609940</v>
      </c>
      <c r="M15" s="1">
        <f>VLOOKUP(B15,'Search Volume'!$A$2:$E$28,5,FALSE)</f>
        <v>1750</v>
      </c>
      <c r="N15" s="1" t="e">
        <f>VLOOKUP(B15,'Search Volume'!$A$2:$C$14,6,FALSE)</f>
        <v>#N/A</v>
      </c>
      <c r="O15" s="91">
        <f>VLOOKUP(B15,'GDP Per Capita'!$A$1:$B$27,2,FALSE)</f>
        <v>35297.009499556501</v>
      </c>
      <c r="P15" s="68">
        <f>VLOOKUP(B15,StandardofLiving!$A$1:$B$27,2,FALSE)</f>
        <v>0.91800000000000004</v>
      </c>
      <c r="Q15" s="92">
        <f>VLOOKUP(B15,MAS!$A$1:$B$27,2,FALSE)</f>
        <v>39965</v>
      </c>
      <c r="R15" s="66">
        <f>VLOOKUP(B15,GDP!$A$2:$D$28,3,FALSE)</f>
        <v>1799</v>
      </c>
      <c r="S15" s="4">
        <f>VLOOKUP(B15,GDP!$A$2:$D$28,4,FALSE)</f>
        <v>4.471544715447151E-2</v>
      </c>
      <c r="T15" s="85">
        <f>VLOOKUP(B15,DPI!$A$1:$B$27,2,FALSE)</f>
        <v>31193</v>
      </c>
      <c r="U15" s="2">
        <f>VLOOKUP(B15,'Cost of Media'!$A$1:$B$27,2,FALSE)</f>
        <v>9.6328877020126616E-2</v>
      </c>
      <c r="V15" s="2">
        <v>14.295008232682999</v>
      </c>
      <c r="W15" s="4">
        <f t="shared" si="2"/>
        <v>4.5187608442759306E-2</v>
      </c>
      <c r="X15" s="102">
        <f t="shared" si="3"/>
        <v>1073657.5765999611</v>
      </c>
      <c r="Y15" s="45"/>
      <c r="Z15" s="45"/>
      <c r="AE15" s="47"/>
      <c r="AF15" s="48"/>
      <c r="AG15" s="48"/>
      <c r="AH15" s="48"/>
      <c r="AI15" s="49"/>
      <c r="AJ15" s="48"/>
      <c r="AK15" s="48"/>
      <c r="AL15" s="48"/>
      <c r="AM15" s="50"/>
      <c r="AN15" s="48"/>
      <c r="AO15" s="51"/>
      <c r="AP15" s="48"/>
      <c r="AX15" s="52"/>
      <c r="AY15" s="52"/>
    </row>
    <row r="16" spans="1:52">
      <c r="B16" s="67" t="s">
        <v>184</v>
      </c>
      <c r="C16" s="1">
        <f>VLOOKUP(B16,Trips!$A$1:$B$27,2,FALSE)</f>
        <v>61.4</v>
      </c>
      <c r="D16" s="1">
        <f>VLOOKUP(B16,Spend!$A$1:$B$27,2,FALSE)</f>
        <v>132</v>
      </c>
      <c r="E16" s="1">
        <f>VLOOKUP(B16,'Tourist Departures'!$A$1:$B$27,2,FALSE)</f>
        <v>22045000</v>
      </c>
      <c r="F16" s="88">
        <f>VLOOKUP(B16,'Minimum Wage'!$A$1:$B$27,2,FALSE)</f>
        <v>12.47</v>
      </c>
      <c r="G16" s="89">
        <f>VLOOKUP(B16,NoofMillionaires!$A$1:$B$27,2,FALSE)</f>
        <v>1149000</v>
      </c>
      <c r="H16" s="65">
        <f>VLOOKUP(B16,'Inflation Rate'!$A$1:$B$27,2,FALSE)</f>
        <v>2.8000000000000001E-2</v>
      </c>
      <c r="I16" s="66">
        <f>VLOOKUP(B16,Population!$A$1:$B$27,2,FALSE)</f>
        <v>17722333</v>
      </c>
      <c r="J16" s="66">
        <f>VLOOKUP(B16,'Search Volume'!$A$2:$C$28,2,FALSE)</f>
        <v>442290</v>
      </c>
      <c r="K16" s="1">
        <f>VLOOKUP(B16,'Search Volume'!$A$2:$C$28,3,FALSE)</f>
        <v>4160</v>
      </c>
      <c r="L16" s="1">
        <f>VLOOKUP(B16,'Search Volume'!$A$2:$E$28,4,FALSE)</f>
        <v>431370</v>
      </c>
      <c r="M16" s="1">
        <f>VLOOKUP(B16,'Search Volume'!$A$2:$E$28,5,FALSE)</f>
        <v>3130</v>
      </c>
      <c r="N16" s="1" t="e">
        <f>VLOOKUP(B16,'Search Volume'!$A$2:$C$14,6,FALSE)</f>
        <v>#N/A</v>
      </c>
      <c r="O16" s="91">
        <f>VLOOKUP(B16,'GDP Per Capita'!$A$1:$B$27,2,FALSE)</f>
        <v>68218.7261019406</v>
      </c>
      <c r="P16" s="68">
        <f>VLOOKUP(B16,StandardofLiving!$A$1:$B$27,2,FALSE)</f>
        <v>0.95499999999999996</v>
      </c>
      <c r="Q16" s="92">
        <f>VLOOKUP(B16,MAS!$A$1:$B$27,2,FALSE)</f>
        <v>50920</v>
      </c>
      <c r="R16" s="66">
        <f>VLOOKUP(B16,GDP!$A$2:$D$28,3,FALSE)</f>
        <v>1272</v>
      </c>
      <c r="S16" s="4">
        <f>VLOOKUP(B16,GDP!$A$2:$D$28,4,FALSE)</f>
        <v>3.6674816625916762E-2</v>
      </c>
      <c r="T16" s="85">
        <f>VLOOKUP(B16,DPI!$A$1:$B$27,2,FALSE)</f>
        <v>40722</v>
      </c>
      <c r="U16" s="2">
        <f>VLOOKUP(B16,'Cost of Media'!$A$1:$B$27,2,FALSE)</f>
        <v>0</v>
      </c>
      <c r="V16" s="2">
        <v>15.295008232682999</v>
      </c>
      <c r="W16" s="4">
        <f t="shared" si="2"/>
        <v>4.8348684512617444E-2</v>
      </c>
      <c r="X16" s="102">
        <f t="shared" si="3"/>
        <v>1148764.7440197906</v>
      </c>
      <c r="Y16" s="45"/>
      <c r="Z16" s="45"/>
      <c r="AE16" s="47"/>
      <c r="AF16" s="48"/>
      <c r="AG16" s="48"/>
      <c r="AH16" s="48"/>
      <c r="AI16" s="49"/>
      <c r="AJ16" s="48"/>
      <c r="AK16" s="48"/>
      <c r="AL16" s="48"/>
      <c r="AM16" s="50"/>
      <c r="AN16" s="48"/>
      <c r="AO16" s="51"/>
      <c r="AP16" s="48"/>
      <c r="AX16" s="52"/>
      <c r="AY16" s="52"/>
    </row>
    <row r="17" spans="2:51">
      <c r="B17" s="67" t="s">
        <v>171</v>
      </c>
      <c r="C17" s="1">
        <f>VLOOKUP(B17,Trips!$A$1:$B$27,2,FALSE)</f>
        <v>27</v>
      </c>
      <c r="D17" s="1" t="e">
        <f>VLOOKUP(B17,Spend!$A$1:$B$27,2,FALSE)</f>
        <v>#N/A</v>
      </c>
      <c r="E17" s="1">
        <f>VLOOKUP(B17,'Tourist Departures'!$A$1:$B$27,2,FALSE)</f>
        <v>20081000</v>
      </c>
      <c r="F17" s="88">
        <f>VLOOKUP(B17,'Minimum Wage'!$A$1:$B$27,2,FALSE)</f>
        <v>6.69</v>
      </c>
      <c r="G17" s="89">
        <f>VLOOKUP(B17,NoofMillionaires!$A$1:$B$27,2,FALSE)</f>
        <v>3366000</v>
      </c>
      <c r="H17" s="65">
        <f>VLOOKUP(B17,'Inflation Rate'!$A$1:$B$27,2,FALSE)</f>
        <v>2.1999999999999999E-2</v>
      </c>
      <c r="I17" s="66">
        <f>VLOOKUP(B17,Population!$A$1:$B$27,2,FALSE)</f>
        <v>121960408</v>
      </c>
      <c r="J17" s="66">
        <f>VLOOKUP(B17,'Search Volume'!$A$2:$C$28,2,FALSE)</f>
        <v>161240</v>
      </c>
      <c r="K17" s="1">
        <f>VLOOKUP(B17,'Search Volume'!$A$2:$C$28,3,FALSE)</f>
        <v>72490</v>
      </c>
      <c r="L17" s="1">
        <f>VLOOKUP(B17,'Search Volume'!$A$2:$E$28,4,FALSE)</f>
        <v>520</v>
      </c>
      <c r="M17" s="1">
        <f>VLOOKUP(B17,'Search Volume'!$A$2:$E$28,5,FALSE)</f>
        <v>360</v>
      </c>
      <c r="N17" s="1" t="e">
        <f>VLOOKUP(B17,'Search Volume'!$A$2:$C$14,6,FALSE)</f>
        <v>#N/A</v>
      </c>
      <c r="O17" s="91">
        <f>VLOOKUP(B17,'GDP Per Capita'!$A$1:$B$27,2,FALSE)</f>
        <v>32475.892499219099</v>
      </c>
      <c r="P17" s="68">
        <f>VLOOKUP(B17,StandardofLiving!$A$1:$B$27,2,FALSE)</f>
        <v>0.92500000000000004</v>
      </c>
      <c r="Q17" s="92">
        <f>VLOOKUP(B17,MAS!$A$1:$B$27,2,FALSE)</f>
        <v>38010</v>
      </c>
      <c r="R17" s="66">
        <f>VLOOKUP(B17,GDP!$A$2:$D$28,3,FALSE)</f>
        <v>4186</v>
      </c>
      <c r="S17" s="4">
        <f>VLOOKUP(B17,GDP!$A$2:$D$28,4,FALSE)</f>
        <v>3.9741679085941284E-2</v>
      </c>
      <c r="T17" s="85">
        <f>VLOOKUP(B17,DPI!$A$1:$B$27,2,FALSE)</f>
        <v>28040</v>
      </c>
      <c r="U17" s="2">
        <f>VLOOKUP(B17,'Cost of Media'!$A$1:$B$27,2,FALSE)</f>
        <v>4.819081885684709E-2</v>
      </c>
      <c r="V17" s="2">
        <v>16.295008232682999</v>
      </c>
      <c r="W17" s="4">
        <f t="shared" si="2"/>
        <v>5.1509760582475583E-2</v>
      </c>
      <c r="X17" s="102">
        <f t="shared" si="3"/>
        <v>1223871.91143962</v>
      </c>
      <c r="Y17" s="45"/>
      <c r="Z17" s="45"/>
      <c r="AE17" s="47"/>
      <c r="AF17" s="48"/>
      <c r="AG17" s="48"/>
      <c r="AH17" s="48"/>
      <c r="AI17" s="49"/>
      <c r="AJ17" s="48"/>
      <c r="AK17" s="48"/>
      <c r="AL17" s="48"/>
      <c r="AM17" s="50"/>
      <c r="AN17" s="48"/>
      <c r="AO17" s="51"/>
      <c r="AP17" s="48"/>
      <c r="AX17" s="52"/>
      <c r="AY17" s="52"/>
    </row>
    <row r="18" spans="2:51">
      <c r="B18" s="67" t="s">
        <v>89</v>
      </c>
      <c r="C18" s="1">
        <f>VLOOKUP(B18,Trips!$A$1:$B$27,2,FALSE)</f>
        <v>104.6</v>
      </c>
      <c r="D18" s="1" t="e">
        <f>VLOOKUP(B18,Spend!$A$1:$B$27,2,FALSE)</f>
        <v>#N/A</v>
      </c>
      <c r="E18" s="1">
        <f>VLOOKUP(B18,'Tourist Departures'!$A$1:$B$27,2,FALSE)</f>
        <v>8437000</v>
      </c>
      <c r="F18" s="88">
        <f>VLOOKUP(B18,'Minimum Wage'!$A$1:$B$27,2,FALSE)</f>
        <v>0.48</v>
      </c>
      <c r="G18" s="89">
        <f>VLOOKUP(B18,NoofMillionaires!$A$1:$B$27,2,FALSE)</f>
        <v>8000</v>
      </c>
      <c r="H18" s="65">
        <f>VLOOKUP(B18,'Inflation Rate'!$A$1:$B$27,2,FALSE)</f>
        <v>0.09</v>
      </c>
      <c r="I18" s="66">
        <f>VLOOKUP(B18,Population!$A$1:$B$27,2,FALSE)</f>
        <v>37099506</v>
      </c>
      <c r="J18" s="66">
        <f>VLOOKUP(B18,'Search Volume'!$A$2:$C$28,2,FALSE)</f>
        <v>62390</v>
      </c>
      <c r="K18" s="1">
        <f>VLOOKUP(B18,'Search Volume'!$A$2:$C$28,3,FALSE)</f>
        <v>370</v>
      </c>
      <c r="L18" s="1">
        <f>VLOOKUP(B18,'Search Volume'!$A$2:$E$28,4,FALSE)</f>
        <v>54330</v>
      </c>
      <c r="M18" s="1">
        <f>VLOOKUP(B18,'Search Volume'!$A$2:$E$28,5,FALSE)</f>
        <v>290</v>
      </c>
      <c r="N18" s="1" t="e">
        <f>VLOOKUP(B18,'Search Volume'!$A$2:$C$14,6,FALSE)</f>
        <v>#N/A</v>
      </c>
      <c r="O18" s="91">
        <f>VLOOKUP(B18,'GDP Per Capita'!$A$1:$B$27,2,FALSE)</f>
        <v>3161.7001063287498</v>
      </c>
      <c r="P18" s="68">
        <f>VLOOKUP(B18,StandardofLiving!$A$1:$B$27,2,FALSE)</f>
        <v>0.74</v>
      </c>
      <c r="Q18" s="92">
        <f>VLOOKUP(B18,MAS!$A$1:$B$27,2,FALSE)</f>
        <v>2220</v>
      </c>
      <c r="R18" s="66">
        <f>VLOOKUP(B18,GDP!$A$2:$D$28,3,FALSE)</f>
        <v>132.48400000000001</v>
      </c>
      <c r="S18" s="4">
        <f>VLOOKUP(B18,GDP!$A$2:$D$28,4,FALSE)</f>
        <v>0.15241558080061246</v>
      </c>
      <c r="T18" s="85">
        <f>VLOOKUP(B18,DPI!$A$1:$B$27,2,FALSE)</f>
        <v>1706</v>
      </c>
      <c r="U18" s="2" t="e">
        <f>VLOOKUP(B18,'Cost of Media'!$A$1:$B$27,2,FALSE)</f>
        <v>#N/A</v>
      </c>
      <c r="V18" s="2">
        <v>17.295008232682999</v>
      </c>
      <c r="W18" s="4">
        <f t="shared" si="2"/>
        <v>5.4670836652333715E-2</v>
      </c>
      <c r="X18" s="102">
        <f t="shared" si="3"/>
        <v>1298979.0788594491</v>
      </c>
      <c r="Y18" s="45"/>
      <c r="Z18" s="45"/>
      <c r="AE18" s="47"/>
      <c r="AF18" s="48"/>
      <c r="AG18" s="48"/>
      <c r="AH18" s="48"/>
      <c r="AI18" s="49"/>
      <c r="AJ18" s="48"/>
      <c r="AK18" s="48"/>
      <c r="AL18" s="48"/>
      <c r="AM18" s="50"/>
      <c r="AN18" s="48"/>
      <c r="AO18" s="51"/>
      <c r="AP18" s="48"/>
      <c r="AX18" s="52"/>
      <c r="AY18" s="52"/>
    </row>
    <row r="19" spans="2:51">
      <c r="B19" s="67" t="s">
        <v>159</v>
      </c>
      <c r="C19" s="1">
        <f>VLOOKUP(B19,Trips!$A$1:$B$27,2,FALSE)</f>
        <v>40.700000000000003</v>
      </c>
      <c r="D19" s="1" t="e">
        <f>VLOOKUP(B19,Spend!$A$1:$B$27,2,FALSE)</f>
        <v>#N/A</v>
      </c>
      <c r="E19" s="1">
        <f>VLOOKUP(B19,'Tourist Departures'!$A$1:$B$27,2,FALSE)</f>
        <v>50600000</v>
      </c>
      <c r="F19" s="88">
        <f>VLOOKUP(B19,'Minimum Wage'!$A$1:$B$27,2,FALSE)</f>
        <v>6.21</v>
      </c>
      <c r="G19" s="89">
        <f>VLOOKUP(B19,NoofMillionaires!$A$1:$B$27,2,FALSE)</f>
        <v>100000</v>
      </c>
      <c r="H19" s="65">
        <f>VLOOKUP(B19,'Inflation Rate'!$A$1:$B$27,2,FALSE)</f>
        <v>5.0999999999999997E-2</v>
      </c>
      <c r="I19" s="66">
        <f>VLOOKUP(B19,Population!$A$1:$B$27,2,FALSE)</f>
        <v>39616730</v>
      </c>
      <c r="J19" s="66">
        <f>VLOOKUP(B19,'Search Volume'!$A$2:$C$28,2,FALSE)</f>
        <v>663510</v>
      </c>
      <c r="K19" s="1">
        <f>VLOOKUP(B19,'Search Volume'!$A$2:$C$28,3,FALSE)</f>
        <v>1550</v>
      </c>
      <c r="L19" s="1">
        <f>VLOOKUP(B19,'Search Volume'!$A$2:$E$28,4,FALSE)</f>
        <v>585130</v>
      </c>
      <c r="M19" s="1">
        <f>VLOOKUP(B19,'Search Volume'!$A$2:$E$28,5,FALSE)</f>
        <v>1550</v>
      </c>
      <c r="N19" s="1" t="e">
        <f>VLOOKUP(B19,'Search Volume'!$A$2:$C$14,6,FALSE)</f>
        <v>#N/A</v>
      </c>
      <c r="O19" s="91">
        <f>VLOOKUP(B19,'GDP Per Capita'!$A$1:$B$27,2,FALSE)</f>
        <v>25022.671644595299</v>
      </c>
      <c r="P19" s="68">
        <f>VLOOKUP(B19,StandardofLiving!$A$1:$B$27,2,FALSE)</f>
        <v>0.90600000000000003</v>
      </c>
      <c r="Q19" s="92">
        <f>VLOOKUP(B19,MAS!$A$1:$B$27,2,FALSE)</f>
        <v>33089</v>
      </c>
      <c r="R19" s="66">
        <f>VLOOKUP(B19,GDP!$A$2:$D$28,3,FALSE)</f>
        <v>979</v>
      </c>
      <c r="S19" s="4">
        <f>VLOOKUP(B19,GDP!$A$2:$D$28,4,FALSE)</f>
        <v>7.819383259911894E-2</v>
      </c>
      <c r="T19" s="85">
        <f>VLOOKUP(B19,DPI!$A$1:$B$27,2,FALSE)</f>
        <v>10080</v>
      </c>
      <c r="U19" s="2">
        <f>VLOOKUP(B19,'Cost of Media'!$A$1:$B$27,2,FALSE)</f>
        <v>5.6841128711026846E-2</v>
      </c>
      <c r="V19" s="2">
        <v>18.295008232682999</v>
      </c>
      <c r="W19" s="4">
        <f t="shared" si="2"/>
        <v>5.7831912722191854E-2</v>
      </c>
      <c r="X19" s="102">
        <f t="shared" si="3"/>
        <v>1374086.2462792785</v>
      </c>
      <c r="Y19" s="45"/>
      <c r="Z19" s="45"/>
      <c r="AE19" s="47"/>
      <c r="AF19" s="48"/>
      <c r="AG19" s="48"/>
      <c r="AH19" s="48"/>
      <c r="AI19" s="49"/>
      <c r="AJ19" s="48"/>
      <c r="AK19" s="48"/>
      <c r="AL19" s="48"/>
      <c r="AM19" s="50"/>
      <c r="AN19" s="48"/>
      <c r="AO19" s="51"/>
      <c r="AP19" s="48"/>
      <c r="AX19" s="52"/>
      <c r="AY19" s="52"/>
    </row>
    <row r="20" spans="2:51">
      <c r="B20" s="67" t="s">
        <v>176</v>
      </c>
      <c r="C20" s="1">
        <f>VLOOKUP(B20,Trips!$A$1:$B$27,2,FALSE)</f>
        <v>37.700000000000003</v>
      </c>
      <c r="D20" s="1" t="e">
        <f>VLOOKUP(B20,Spend!$A$1:$B$27,2,FALSE)</f>
        <v>#N/A</v>
      </c>
      <c r="E20" s="1">
        <f>VLOOKUP(B20,'Tourist Departures'!$A$1:$B$27,2,FALSE)</f>
        <v>28714000</v>
      </c>
      <c r="F20" s="88">
        <f>VLOOKUP(B20,'Minimum Wage'!$A$1:$B$27,2,FALSE)</f>
        <v>7.3</v>
      </c>
      <c r="G20" s="89">
        <f>VLOOKUP(B20,NoofMillionaires!$A$1:$B$27,2,FALSE)</f>
        <v>1290000</v>
      </c>
      <c r="H20" s="65">
        <f>VLOOKUP(B20,'Inflation Rate'!$A$1:$B$27,2,FALSE)</f>
        <v>2.7E-2</v>
      </c>
      <c r="I20" s="66">
        <f>VLOOKUP(B20,Population!$A$1:$B$27,2,FALSE)</f>
        <v>51800000</v>
      </c>
      <c r="J20" s="66">
        <f>VLOOKUP(B20,'Search Volume'!$A$2:$C$28,2,FALSE)</f>
        <v>59540</v>
      </c>
      <c r="K20" s="1">
        <f>VLOOKUP(B20,'Search Volume'!$A$2:$C$28,3,FALSE)</f>
        <v>330</v>
      </c>
      <c r="L20" s="1">
        <f>VLOOKUP(B20,'Search Volume'!$A$2:$E$28,4,FALSE)</f>
        <v>44400</v>
      </c>
      <c r="M20" s="1">
        <f>VLOOKUP(B20,'Search Volume'!$A$2:$E$28,5,FALSE)</f>
        <v>330</v>
      </c>
      <c r="N20" s="1" t="e">
        <f>VLOOKUP(B20,'Search Volume'!$A$2:$C$14,6,FALSE)</f>
        <v>#N/A</v>
      </c>
      <c r="O20" s="91">
        <f>VLOOKUP(B20,'GDP Per Capita'!$A$1:$B$27,2,FALSE)</f>
        <v>33121.371288550799</v>
      </c>
      <c r="P20" s="68">
        <f>VLOOKUP(B20,StandardofLiving!$A$1:$B$27,2,FALSE)</f>
        <v>0.93700000000000006</v>
      </c>
      <c r="Q20" s="92">
        <f>VLOOKUP(B20,MAS!$A$1:$B$27,2,FALSE)</f>
        <v>35083</v>
      </c>
      <c r="R20" s="66">
        <f>VLOOKUP(B20,GDP!$A$2:$D$28,3,FALSE)</f>
        <v>1790</v>
      </c>
      <c r="S20" s="4">
        <f>VLOOKUP(B20,GDP!$A$2:$D$28,4,FALSE)</f>
        <v>-4.2268592830390528E-2</v>
      </c>
      <c r="T20" s="85">
        <f>VLOOKUP(B20,DPI!$A$1:$B$27,2,FALSE)</f>
        <v>36230</v>
      </c>
      <c r="U20" s="2">
        <f>VLOOKUP(B20,'Cost of Media'!$A$1:$B$27,2,FALSE)</f>
        <v>3.1759249431447742E-2</v>
      </c>
      <c r="V20" s="2">
        <v>19.295008232682999</v>
      </c>
      <c r="W20" s="4">
        <f t="shared" si="2"/>
        <v>6.0992988792049993E-2</v>
      </c>
      <c r="X20" s="102">
        <f t="shared" si="3"/>
        <v>1449193.4136991079</v>
      </c>
      <c r="Y20" s="45"/>
      <c r="Z20" s="45"/>
      <c r="AE20" s="47"/>
      <c r="AF20" s="48"/>
      <c r="AG20" s="48"/>
      <c r="AH20" s="48"/>
      <c r="AI20" s="49"/>
      <c r="AJ20" s="48"/>
      <c r="AK20" s="48"/>
      <c r="AL20" s="48"/>
      <c r="AM20" s="50"/>
      <c r="AN20" s="48"/>
      <c r="AO20" s="51"/>
      <c r="AP20" s="48"/>
      <c r="AX20" s="52"/>
      <c r="AY20" s="52"/>
    </row>
    <row r="21" spans="2:51">
      <c r="B21" s="67" t="s">
        <v>119</v>
      </c>
      <c r="C21" s="1">
        <f>VLOOKUP(B21,Trips!$A$1:$B$27,2,FALSE)</f>
        <v>12</v>
      </c>
      <c r="D21" s="1" t="e">
        <f>VLOOKUP(B21,Spend!$A$1:$B$27,2,FALSE)</f>
        <v>#N/A</v>
      </c>
      <c r="E21" s="1">
        <f>VLOOKUP(B21,'Tourist Departures'!$A$1:$B$27,2,FALSE)</f>
        <v>1868000</v>
      </c>
      <c r="F21" s="88">
        <f>VLOOKUP(B21,'Minimum Wage'!$A$1:$B$27,2,FALSE)</f>
        <v>1.08</v>
      </c>
      <c r="G21" s="89">
        <f>VLOOKUP(B21,NoofMillionaires!$A$1:$B$27,2,FALSE)</f>
        <v>4000</v>
      </c>
      <c r="H21" s="65">
        <f>VLOOKUP(B21,'Inflation Rate'!$A$1:$B$27,2,FALSE)</f>
        <v>3.1E-2</v>
      </c>
      <c r="I21" s="66">
        <f>VLOOKUP(B21,Population!$A$1:$B$27,2,FALSE)</f>
        <v>2777003</v>
      </c>
      <c r="J21" s="66">
        <f>VLOOKUP(B21,'Search Volume'!$A$2:$C$28,2,FALSE)</f>
        <v>136500</v>
      </c>
      <c r="K21" s="1">
        <f>VLOOKUP(B21,'Search Volume'!$A$2:$C$28,3,FALSE)</f>
        <v>570</v>
      </c>
      <c r="L21" s="1">
        <f>VLOOKUP(B21,'Search Volume'!$A$2:$E$28,4,FALSE)</f>
        <v>69270</v>
      </c>
      <c r="M21" s="1">
        <f>VLOOKUP(B21,'Search Volume'!$A$2:$E$28,5,FALSE)</f>
        <v>570</v>
      </c>
      <c r="N21" s="1" t="e">
        <f>VLOOKUP(B21,'Search Volume'!$A$2:$C$14,6,FALSE)</f>
        <v>#N/A</v>
      </c>
      <c r="O21" s="91">
        <f>VLOOKUP(B21,'GDP Per Capita'!$A$1:$B$27,2,FALSE)</f>
        <v>8500.6052248671895</v>
      </c>
      <c r="P21" s="68">
        <f>VLOOKUP(B21,StandardofLiving!$A$1:$B$27,2,FALSE)</f>
        <v>0.81100000000000005</v>
      </c>
      <c r="Q21" s="92">
        <f>VLOOKUP(B21,MAS!$A$1:$B$27,2,FALSE)</f>
        <v>2220</v>
      </c>
      <c r="R21" s="66">
        <f>VLOOKUP(B21,GDP!$A$2:$D$28,3,FALSE)</f>
        <v>26.257999999999999</v>
      </c>
      <c r="S21" s="4">
        <f>VLOOKUP(B21,GDP!$A$2:$D$28,4,FALSE)</f>
        <v>2.8394626561704328E-2</v>
      </c>
      <c r="T21" s="85">
        <f>VLOOKUP(B21,DPI!$A$1:$B$27,2,FALSE)</f>
        <v>2555</v>
      </c>
      <c r="U21" s="2">
        <f>VLOOKUP(B21,'Cost of Media'!$A$1:$B$27,2,FALSE)</f>
        <v>0</v>
      </c>
      <c r="V21" s="2">
        <v>20.295008232682999</v>
      </c>
      <c r="W21" s="4">
        <f t="shared" si="2"/>
        <v>6.4154064861908139E-2</v>
      </c>
      <c r="X21" s="102">
        <f t="shared" si="3"/>
        <v>1524300.5811189373</v>
      </c>
      <c r="Y21" s="45"/>
      <c r="Z21" s="45"/>
      <c r="AE21" s="47"/>
      <c r="AF21" s="48"/>
      <c r="AG21" s="48"/>
      <c r="AH21" s="48"/>
      <c r="AI21" s="49"/>
      <c r="AJ21" s="48"/>
      <c r="AK21" s="48"/>
      <c r="AL21" s="48"/>
      <c r="AM21" s="50"/>
      <c r="AN21" s="48"/>
      <c r="AO21" s="51"/>
      <c r="AP21" s="48"/>
      <c r="AX21" s="52"/>
      <c r="AY21" s="52"/>
    </row>
    <row r="22" spans="2:51">
      <c r="B22" s="67" t="s">
        <v>183</v>
      </c>
      <c r="C22" s="1">
        <f>VLOOKUP(B22,Trips!$A$1:$B$27,2,FALSE)</f>
        <v>36.6</v>
      </c>
      <c r="D22" s="1">
        <f>VLOOKUP(B22,Spend!$A$1:$B$27,2,FALSE)</f>
        <v>60</v>
      </c>
      <c r="E22" s="1">
        <f>VLOOKUP(B22,'Tourist Departures'!$A$1:$B$27,2,FALSE)</f>
        <v>14191000</v>
      </c>
      <c r="F22" s="88">
        <f>VLOOKUP(B22,'Minimum Wage'!$A$1:$B$27,2,FALSE)</f>
        <v>13.11</v>
      </c>
      <c r="G22" s="89">
        <f>VLOOKUP(B22,NoofMillionaires!$A$1:$B$27,2,FALSE)</f>
        <v>589000</v>
      </c>
      <c r="H22" s="65">
        <f>VLOOKUP(B22,'Inflation Rate'!$A$1:$B$27,2,FALSE)</f>
        <v>3.4000000000000002E-2</v>
      </c>
      <c r="I22" s="66">
        <f>VLOOKUP(B22,Population!$A$1:$B$27,2,FALSE)</f>
        <v>11825551</v>
      </c>
      <c r="J22" s="66">
        <f>VLOOKUP(B22,'Search Volume'!$A$2:$C$28,2,FALSE)</f>
        <v>285990</v>
      </c>
      <c r="K22" s="1">
        <f>VLOOKUP(B22,'Search Volume'!$A$2:$C$28,3,FALSE)</f>
        <v>990</v>
      </c>
      <c r="L22" s="1">
        <f>VLOOKUP(B22,'Search Volume'!$A$2:$E$28,4,FALSE)</f>
        <v>221500</v>
      </c>
      <c r="M22" s="1">
        <f>VLOOKUP(B22,'Search Volume'!$A$2:$E$28,5,FALSE)</f>
        <v>740</v>
      </c>
      <c r="N22" s="1" t="e">
        <f>VLOOKUP(B22,'Search Volume'!$A$2:$C$14,6,FALSE)</f>
        <v>#N/A</v>
      </c>
      <c r="O22" s="91">
        <f>VLOOKUP(B22,'GDP Per Capita'!$A$1:$B$27,2,FALSE)</f>
        <v>55954.610626101799</v>
      </c>
      <c r="P22" s="68">
        <f>VLOOKUP(B22,StandardofLiving!$A$1:$B$27,2,FALSE)</f>
        <v>0.95099999999999996</v>
      </c>
      <c r="Q22" s="92">
        <f>VLOOKUP(B22,MAS!$A$1:$B$27,2,FALSE)</f>
        <v>49749</v>
      </c>
      <c r="R22" s="66">
        <f>VLOOKUP(B22,GDP!$A$2:$D$28,3,FALSE)</f>
        <v>689</v>
      </c>
      <c r="S22" s="4">
        <f>VLOOKUP(B22,GDP!$A$2:$D$28,4,FALSE)</f>
        <v>3.7650602409638578E-2</v>
      </c>
      <c r="T22" s="85">
        <f>VLOOKUP(B22,DPI!$A$1:$B$27,2,FALSE)</f>
        <v>37365</v>
      </c>
      <c r="U22" s="2">
        <f>VLOOKUP(B22,'Cost of Media'!$A$1:$B$27,2,FALSE)</f>
        <v>0</v>
      </c>
      <c r="V22" s="2">
        <v>21.295008232682999</v>
      </c>
      <c r="W22" s="4">
        <f t="shared" si="2"/>
        <v>6.7315140931766271E-2</v>
      </c>
      <c r="X22" s="102">
        <f t="shared" si="3"/>
        <v>1599407.7485387665</v>
      </c>
      <c r="Y22" s="45"/>
      <c r="Z22" s="45"/>
      <c r="AE22" s="47"/>
      <c r="AF22" s="48"/>
      <c r="AG22" s="48"/>
      <c r="AH22" s="48"/>
      <c r="AI22" s="49"/>
      <c r="AJ22" s="48"/>
      <c r="AK22" s="48"/>
      <c r="AL22" s="48"/>
      <c r="AM22" s="50"/>
      <c r="AN22" s="48"/>
      <c r="AO22" s="51"/>
      <c r="AP22" s="48"/>
      <c r="AX22" s="52"/>
      <c r="AY22" s="52"/>
    </row>
    <row r="23" spans="2:51">
      <c r="B23" s="6" t="s">
        <v>165</v>
      </c>
      <c r="C23" s="1">
        <f>VLOOKUP(B23,Trips!$A$1:$B$27,2,FALSE)</f>
        <v>247</v>
      </c>
      <c r="D23" s="1">
        <f>VLOOKUP(B23,Spend!$A$1:$B$27,2,FALSE)</f>
        <v>192</v>
      </c>
      <c r="E23" s="1">
        <f>VLOOKUP(B23,'Tourist Departures'!$A$1:$B$27,2,FALSE)</f>
        <v>62207000</v>
      </c>
      <c r="F23" s="88">
        <f>VLOOKUP(B23,'Minimum Wage'!$A$1:$B$27,2,FALSE)</f>
        <v>10</v>
      </c>
      <c r="G23" s="89">
        <f>VLOOKUP(B23,NoofMillionaires!$A$1:$B$27,2,FALSE)</f>
        <v>1413000</v>
      </c>
      <c r="H23" s="65">
        <f>VLOOKUP(B23,'Inflation Rate'!$A$1:$B$27,2,FALSE)</f>
        <v>2.1000000000000001E-2</v>
      </c>
      <c r="I23" s="66">
        <f>VLOOKUP(B23,Population!$A$1:$B$27,2,FALSE)</f>
        <v>58934177</v>
      </c>
      <c r="J23" s="66">
        <f>VLOOKUP(B23,'Search Volume'!$A$2:$C$28,2,FALSE)</f>
        <v>1076490</v>
      </c>
      <c r="K23" s="1">
        <f>VLOOKUP(B23,'Search Volume'!$A$2:$C$28,3,FALSE)</f>
        <v>3370</v>
      </c>
      <c r="L23" s="1">
        <f>VLOOKUP(B23,'Search Volume'!$A$2:$E$28,4,FALSE)</f>
        <v>1109260</v>
      </c>
      <c r="M23" s="1">
        <f>VLOOKUP(B23,'Search Volume'!$A$2:$E$28,5,FALSE)</f>
        <v>3220</v>
      </c>
      <c r="N23" s="1" t="e">
        <f>VLOOKUP(B23,'Search Volume'!$A$2:$C$14,6,FALSE)</f>
        <v>#REF!</v>
      </c>
      <c r="O23" s="91">
        <f>VLOOKUP(B23,'GDP Per Capita'!$A$1:$B$27,2,FALSE)</f>
        <v>40226.0472416173</v>
      </c>
      <c r="P23" s="68">
        <f>VLOOKUP(B23,StandardofLiving!$A$1:$B$27,2,FALSE)</f>
        <v>0.91500000000000004</v>
      </c>
      <c r="Q23" s="92">
        <f>VLOOKUP(B23,MAS!$A$1:$B$27,2,FALSE)</f>
        <v>43390</v>
      </c>
      <c r="R23" s="66">
        <f>VLOOKUP(B23,GDP!$A$2:$D$28,3,FALSE)</f>
        <v>2422</v>
      </c>
      <c r="S23" s="4">
        <f>VLOOKUP(B23,GDP!$A$2:$D$28,4,FALSE)</f>
        <v>2.1079258010118007E-2</v>
      </c>
      <c r="T23" s="85">
        <f>VLOOKUP(B23,DPI!$A$1:$B$27,2,FALSE)</f>
        <v>34703</v>
      </c>
      <c r="U23" s="2">
        <f>VLOOKUP(B23,'Cost of Media'!$A$1:$B$27,2,FALSE)</f>
        <v>0.15021631649043876</v>
      </c>
      <c r="V23" s="2">
        <v>8.2457063046468129</v>
      </c>
      <c r="W23" s="4">
        <f t="shared" ref="W23:W28" si="4">V23/SUM($V$4:$V$27)</f>
        <v>2.6065304878697418E-2</v>
      </c>
      <c r="X23" s="102">
        <f t="shared" si="1"/>
        <v>619311.64391785068</v>
      </c>
      <c r="Y23" s="45"/>
      <c r="Z23" s="45"/>
      <c r="AE23" s="47"/>
      <c r="AF23" s="48"/>
      <c r="AG23" s="48"/>
      <c r="AH23" s="48"/>
      <c r="AI23" s="49"/>
      <c r="AJ23" s="48"/>
      <c r="AK23" s="48"/>
      <c r="AL23" s="48"/>
      <c r="AM23" s="50"/>
      <c r="AN23" s="48"/>
      <c r="AO23" s="51"/>
      <c r="AP23" s="48"/>
      <c r="AX23" s="52"/>
      <c r="AY23" s="52"/>
    </row>
    <row r="24" spans="2:51">
      <c r="B24" s="6" t="s">
        <v>120</v>
      </c>
      <c r="C24" s="1">
        <f>VLOOKUP(B24,Trips!$A$1:$B$27,2,FALSE)</f>
        <v>177</v>
      </c>
      <c r="D24" s="1" t="e">
        <f>VLOOKUP(B24,Spend!$A$1:$B$27,2,FALSE)</f>
        <v>#N/A</v>
      </c>
      <c r="E24" s="1">
        <f>VLOOKUP(B24,'Tourist Departures'!$A$1:$B$27,2,FALSE)</f>
        <v>154632000</v>
      </c>
      <c r="F24" s="88">
        <f>VLOOKUP(B24,'Minimum Wage'!$A$1:$B$27,2,FALSE)</f>
        <v>2.0499999999999998</v>
      </c>
      <c r="G24" s="89">
        <f>VLOOKUP(B24,NoofMillionaires!$A$1:$B$27,2,FALSE)</f>
        <v>6190000</v>
      </c>
      <c r="H24" s="65">
        <f>VLOOKUP(B24,'Inflation Rate'!$A$1:$B$27,2,FALSE)</f>
        <v>0.01</v>
      </c>
      <c r="I24" s="66">
        <f>VLOOKUP(B24,Population!$A$1:$B$27,2,FALSE)</f>
        <v>1424381924</v>
      </c>
      <c r="J24" s="66">
        <f>VLOOKUP(B24,'Search Volume'!$A$2:$C$28,2,FALSE)</f>
        <v>32530</v>
      </c>
      <c r="K24" s="1">
        <f>VLOOKUP(B24,'Search Volume'!$A$2:$C$28,3,FALSE)</f>
        <v>160</v>
      </c>
      <c r="L24" s="1">
        <f>VLOOKUP(B24,'Search Volume'!$A$2:$E$28,4,FALSE)</f>
        <v>21260</v>
      </c>
      <c r="M24" s="1">
        <f>VLOOKUP(B24,'Search Volume'!$A$2:$E$28,5,FALSE)</f>
        <v>160</v>
      </c>
      <c r="N24" s="1" t="e">
        <f>VLOOKUP(B24,'Search Volume'!$A$2:$C$14,6,FALSE)</f>
        <v>#REF!</v>
      </c>
      <c r="O24" s="91">
        <f>VLOOKUP(B24,'GDP Per Capita'!$A$1:$B$27,2,FALSE)</f>
        <v>13303.148154386799</v>
      </c>
      <c r="P24" s="68">
        <f>VLOOKUP(B24,StandardofLiving!$A$1:$B$27,2,FALSE)</f>
        <v>0.79700000000000004</v>
      </c>
      <c r="Q24" s="92">
        <f>VLOOKUP(B24,MAS!$A$1:$B$27,2,FALSE)</f>
        <v>11434</v>
      </c>
      <c r="R24" s="66">
        <f>VLOOKUP(B24,GDP!$A$2:$D$28,3,FALSE)</f>
        <v>19231</v>
      </c>
      <c r="S24" s="4">
        <f>VLOOKUP(B24,GDP!$A$2:$D$28,4,FALSE)</f>
        <v>2.5762748026456173E-2</v>
      </c>
      <c r="T24" s="85">
        <f>VLOOKUP(B24,DPI!$A$1:$B$27,2,FALSE)</f>
        <v>5738</v>
      </c>
      <c r="U24" s="2">
        <f>VLOOKUP(B24,'Cost of Media'!$A$1:$B$27,2,FALSE)</f>
        <v>4.10929574771128E-2</v>
      </c>
      <c r="V24" s="2">
        <v>10.562395080934918</v>
      </c>
      <c r="W24" s="4">
        <f t="shared" si="4"/>
        <v>3.3388534330730683E-2</v>
      </c>
      <c r="X24" s="102">
        <f t="shared" si="1"/>
        <v>793311.57569816103</v>
      </c>
      <c r="Y24" s="45"/>
      <c r="Z24" s="45"/>
      <c r="AE24" s="47"/>
      <c r="AF24" s="48"/>
      <c r="AG24" s="48"/>
      <c r="AH24" s="48"/>
      <c r="AI24" s="49"/>
      <c r="AJ24" s="48"/>
      <c r="AK24" s="48"/>
      <c r="AL24" s="48"/>
      <c r="AM24" s="50"/>
      <c r="AN24" s="48"/>
      <c r="AO24" s="51"/>
      <c r="AP24" s="48"/>
      <c r="AX24" s="52"/>
      <c r="AY24" s="52"/>
    </row>
    <row r="25" spans="2:51">
      <c r="B25" s="6" t="s">
        <v>155</v>
      </c>
      <c r="C25" s="1">
        <f>VLOOKUP(B25,Trips!$A$1:$B$27,2,FALSE)</f>
        <v>1452.6</v>
      </c>
      <c r="D25" s="1" t="e">
        <f>VLOOKUP(B25,Spend!$A$1:$B$27,2,FALSE)</f>
        <v>#N/A</v>
      </c>
      <c r="E25" s="1">
        <f>VLOOKUP(B25,'Tourist Departures'!$A$1:$B$27,2,FALSE)</f>
        <v>27196000</v>
      </c>
      <c r="F25" s="88">
        <f>VLOOKUP(B25,'Minimum Wage'!$A$1:$B$27,2,FALSE)</f>
        <v>6.16</v>
      </c>
      <c r="G25" s="89">
        <f>VLOOKUP(B25,NoofMillionaires!$A$1:$B$27,2,FALSE)</f>
        <v>313000</v>
      </c>
      <c r="H25" s="65">
        <f>VLOOKUP(B25,'Inflation Rate'!$A$1:$B$27,2,FALSE)</f>
        <v>1.9E-2</v>
      </c>
      <c r="I25" s="66">
        <f>VLOOKUP(B25,Population!$A$1:$B$27,2,FALSE)</f>
        <v>37989969</v>
      </c>
      <c r="J25" s="66">
        <f>VLOOKUP(B25,'Search Volume'!$A$2:$C$28,2,FALSE)</f>
        <v>390390</v>
      </c>
      <c r="K25" s="1">
        <f>VLOOKUP(B25,'Search Volume'!$A$2:$C$28,3,FALSE)</f>
        <v>17520</v>
      </c>
      <c r="L25" s="1">
        <f>VLOOKUP(B25,'Search Volume'!$A$2:$E$28,4,FALSE)</f>
        <v>243830</v>
      </c>
      <c r="M25" s="1">
        <f>VLOOKUP(B25,'Search Volume'!$A$2:$E$28,5,FALSE)</f>
        <v>13820</v>
      </c>
      <c r="N25" s="1" t="e">
        <f>VLOOKUP(B25,'Search Volume'!$A$2:$C$14,6,FALSE)</f>
        <v>#REF!</v>
      </c>
      <c r="O25" s="91">
        <f>VLOOKUP(B25,'GDP Per Capita'!$A$1:$B$27,2,FALSE)</f>
        <v>35057.225230696902</v>
      </c>
      <c r="P25" s="68">
        <f>VLOOKUP(B25,StandardofLiving!$A$1:$B$27,2,FALSE)</f>
        <v>0.9</v>
      </c>
      <c r="Q25" s="92">
        <f>VLOOKUP(B25,MAS!$A$1:$B$27,2,FALSE)</f>
        <v>18257</v>
      </c>
      <c r="R25" s="66">
        <f>VLOOKUP(B25,GDP!$A$2:$D$28,3,FALSE)</f>
        <v>1083.749</v>
      </c>
      <c r="S25" s="4">
        <f>VLOOKUP(B25,GDP!$A$2:$D$28,4,FALSE)</f>
        <v>-1.4824601652173586E-3</v>
      </c>
      <c r="T25" s="85">
        <f>VLOOKUP(B25,DPI!$A$1:$B$27,2,FALSE)</f>
        <v>10224</v>
      </c>
      <c r="U25" s="2">
        <f>VLOOKUP(B25,'Cost of Media'!$A$1:$B$27,2,FALSE)</f>
        <v>4.4300189071237298E-2</v>
      </c>
      <c r="V25" s="2">
        <v>9.7708312769598145</v>
      </c>
      <c r="W25" s="4">
        <f t="shared" si="4"/>
        <v>3.0886340932219102E-2</v>
      </c>
      <c r="X25" s="102">
        <f t="shared" si="1"/>
        <v>733859.46054952592</v>
      </c>
      <c r="Y25" s="45"/>
      <c r="Z25" s="45"/>
      <c r="AE25" s="47"/>
      <c r="AF25" s="48"/>
      <c r="AG25" s="48"/>
      <c r="AH25" s="48"/>
      <c r="AI25" s="49"/>
      <c r="AJ25" s="48"/>
      <c r="AK25" s="48"/>
      <c r="AL25" s="48"/>
      <c r="AM25" s="50"/>
      <c r="AN25" s="48"/>
      <c r="AO25" s="51"/>
      <c r="AP25" s="48"/>
      <c r="AX25" s="52"/>
      <c r="AY25" s="52"/>
    </row>
    <row r="26" spans="2:51">
      <c r="B26" s="6" t="s">
        <v>139</v>
      </c>
      <c r="C26" s="1">
        <f>VLOOKUP(B26,Trips!$A$1:$B$27,2,FALSE)</f>
        <v>905.5</v>
      </c>
      <c r="D26" s="1" t="e">
        <f>VLOOKUP(B26,Spend!$A$1:$B$27,2,FALSE)</f>
        <v>#N/A</v>
      </c>
      <c r="E26" s="1">
        <f>VLOOKUP(B26,'Tourist Departures'!$A$1:$B$27,2,FALSE)</f>
        <v>45330000</v>
      </c>
      <c r="F26" s="88">
        <f>VLOOKUP(B26,'Minimum Wage'!$A$1:$B$27,2,FALSE)</f>
        <v>1.23</v>
      </c>
      <c r="G26" s="89">
        <f>VLOOKUP(B26,NoofMillionaires!$A$1:$B$27,2,FALSE)</f>
        <v>353000</v>
      </c>
      <c r="H26" s="65">
        <f>VLOOKUP(B26,'Inflation Rate'!$A$1:$B$27,2,FALSE)</f>
        <v>7.4999999999999997E-2</v>
      </c>
      <c r="I26" s="66">
        <f>VLOOKUP(B26,Population!$A$1:$B$27,2,FALSE)</f>
        <v>143936258</v>
      </c>
      <c r="J26" s="66">
        <f>VLOOKUP(B26,'Search Volume'!$A$2:$C$28,2,FALSE)</f>
        <v>1447698</v>
      </c>
      <c r="K26" s="1">
        <f>VLOOKUP(B26,'Search Volume'!$A$2:$C$28,3,FALSE)</f>
        <v>27896</v>
      </c>
      <c r="L26" s="1">
        <f>VLOOKUP(B26,'Search Volume'!$A$2:$E$28,4,FALSE)</f>
        <v>994422</v>
      </c>
      <c r="M26" s="1">
        <f>VLOOKUP(B26,'Search Volume'!$A$2:$E$28,5,FALSE)</f>
        <v>18822</v>
      </c>
      <c r="N26" s="1" t="e">
        <f>VLOOKUP(B26,'Search Volume'!$A$2:$C$14,6,FALSE)</f>
        <v>#REF!</v>
      </c>
      <c r="O26" s="91">
        <f>VLOOKUP(B26,'GDP Per Capita'!$A$1:$B$27,2,FALSE)</f>
        <v>14889.0185546875</v>
      </c>
      <c r="P26" s="68">
        <f>VLOOKUP(B26,StandardofLiving!$A$1:$B$27,2,FALSE)</f>
        <v>0.83199999999999996</v>
      </c>
      <c r="Q26" s="92">
        <f>VLOOKUP(B26,MAS!$A$1:$B$27,2,FALSE)</f>
        <v>15400</v>
      </c>
      <c r="R26" s="66">
        <f>VLOOKUP(B26,GDP!$A$2:$D$28,3,FALSE)</f>
        <v>2076</v>
      </c>
      <c r="S26" s="4">
        <f>VLOOKUP(B26,GDP!$A$2:$D$28,4,FALSE)</f>
        <v>-3.9333641832485E-2</v>
      </c>
      <c r="T26" s="85">
        <f>VLOOKUP(B26,DPI!$A$1:$B$27,2,FALSE)</f>
        <v>9053</v>
      </c>
      <c r="U26" s="2" t="e">
        <f>VLOOKUP(B26,'Cost of Media'!$A$1:$B$27,2,FALSE)</f>
        <v>#N/A</v>
      </c>
      <c r="V26" s="2">
        <v>10.465585386597253</v>
      </c>
      <c r="W26" s="4">
        <f t="shared" si="4"/>
        <v>3.3082511522629608E-2</v>
      </c>
      <c r="X26" s="102">
        <f t="shared" si="1"/>
        <v>786040.47377767949</v>
      </c>
      <c r="Y26" s="45"/>
      <c r="Z26" s="45"/>
      <c r="AE26" s="47"/>
      <c r="AF26" s="48"/>
      <c r="AG26" s="48"/>
      <c r="AH26" s="48"/>
      <c r="AI26" s="49"/>
      <c r="AJ26" s="48"/>
      <c r="AK26" s="48"/>
      <c r="AL26" s="48"/>
      <c r="AM26" s="50"/>
      <c r="AN26" s="48"/>
      <c r="AO26" s="51"/>
      <c r="AP26" s="48"/>
      <c r="AX26" s="52"/>
      <c r="AY26" s="52"/>
    </row>
    <row r="27" spans="2:51">
      <c r="B27" s="6" t="s">
        <v>146</v>
      </c>
      <c r="C27" s="1">
        <f>VLOOKUP(B27,Trips!$A$1:$B$27,2,FALSE)</f>
        <v>84</v>
      </c>
      <c r="D27" s="1" t="e">
        <f>VLOOKUP(B27,Spend!$A$1:$B$27,2,FALSE)</f>
        <v>#N/A</v>
      </c>
      <c r="E27" s="1">
        <f>VLOOKUP(B27,'Tourist Departures'!$A$1:$B$27,2,FALSE)</f>
        <v>2950000</v>
      </c>
      <c r="F27" s="88">
        <f>VLOOKUP(B27,'Minimum Wage'!$A$1:$B$27,2,FALSE)</f>
        <v>1.41</v>
      </c>
      <c r="G27" s="89">
        <f>VLOOKUP(B27,NoofMillionaires!$A$1:$B$27,2,FALSE)</f>
        <v>217000</v>
      </c>
      <c r="H27" s="65">
        <f>VLOOKUP(B27,'Inflation Rate'!$A$1:$B$27,2,FALSE)</f>
        <v>3.2000000000000001E-2</v>
      </c>
      <c r="I27" s="66">
        <f>VLOOKUP(B27,Population!$A$1:$B$27,2,FALSE)</f>
        <v>4387109</v>
      </c>
      <c r="J27" s="66">
        <f>VLOOKUP(B27,'Search Volume'!$A$2:$C$28,2,FALSE)</f>
        <v>156750</v>
      </c>
      <c r="K27" s="1">
        <f>VLOOKUP(B27,'Search Volume'!$A$2:$C$28,3,FALSE)</f>
        <v>14530</v>
      </c>
      <c r="L27" s="1">
        <f>VLOOKUP(B27,'Search Volume'!$A$2:$E$28,4,FALSE)</f>
        <v>136790</v>
      </c>
      <c r="M27" s="1">
        <f>VLOOKUP(B27,'Search Volume'!$A$2:$E$28,5,FALSE)</f>
        <v>11620</v>
      </c>
      <c r="N27" s="1" t="e">
        <f>VLOOKUP(B27,'Search Volume'!$A$2:$C$14,6,FALSE)</f>
        <v>#REF!</v>
      </c>
      <c r="O27" s="91">
        <f>VLOOKUP(B27,'GDP Per Capita'!$A$1:$B$27,2,FALSE)</f>
        <v>32213.862229231599</v>
      </c>
      <c r="P27" s="68">
        <f>VLOOKUP(B27,StandardofLiving!$A$1:$B$27,2,FALSE)</f>
        <v>0.85199999999999998</v>
      </c>
      <c r="Q27" s="92">
        <f>VLOOKUP(B27,MAS!$A$1:$B$27,2,FALSE)</f>
        <v>35600</v>
      </c>
      <c r="R27" s="66">
        <f>VLOOKUP(B27,GDP!$A$2:$D$28,3,FALSE)</f>
        <v>153.101</v>
      </c>
      <c r="S27" s="4">
        <f>VLOOKUP(B27,GDP!$A$2:$D$28,4,FALSE)</f>
        <v>-3.4477322032188118E-2</v>
      </c>
      <c r="T27" s="85">
        <f>VLOOKUP(B27,DPI!$A$1:$B$27,2,FALSE)</f>
        <v>26600</v>
      </c>
      <c r="U27" s="2" t="e">
        <f>VLOOKUP(B27,'Cost of Media'!$A$1:$B$27,2,FALSE)</f>
        <v>#N/A</v>
      </c>
      <c r="V27" s="2">
        <v>8.1481187355667597</v>
      </c>
      <c r="W27" s="4">
        <f t="shared" si="4"/>
        <v>2.5756823149362836E-2</v>
      </c>
      <c r="X27" s="102">
        <f t="shared" si="1"/>
        <v>611982.118028861</v>
      </c>
      <c r="Y27" s="45"/>
      <c r="Z27" s="45"/>
      <c r="AE27" s="47"/>
      <c r="AF27" s="48"/>
      <c r="AG27" s="48"/>
      <c r="AH27" s="48"/>
      <c r="AI27" s="49"/>
      <c r="AJ27" s="48"/>
      <c r="AK27" s="48"/>
      <c r="AL27" s="48"/>
      <c r="AM27" s="50"/>
      <c r="AN27" s="48"/>
      <c r="AO27" s="51"/>
      <c r="AP27" s="48"/>
      <c r="AX27" s="52"/>
      <c r="AY27" s="52"/>
    </row>
    <row r="28" spans="2:51">
      <c r="B28" s="6" t="s">
        <v>61</v>
      </c>
      <c r="C28" s="1">
        <f>VLOOKUP(B28,Trips!$A$1:$B$27,2,FALSE)</f>
        <v>2200.3000000000002</v>
      </c>
      <c r="D28" s="1" t="e">
        <f>VLOOKUP(B28,Spend!$A$1:$B$27,2,FALSE)</f>
        <v>#N/A</v>
      </c>
      <c r="E28" s="1">
        <f>VLOOKUP(B28,'Tourist Departures'!$A$1:$B$27,2,FALSE)</f>
        <v>26915000</v>
      </c>
      <c r="F28" s="88">
        <f>VLOOKUP(B28,'Minimum Wage'!$A$1:$B$27,2,FALSE)</f>
        <v>0.6</v>
      </c>
      <c r="G28" s="89">
        <f>VLOOKUP(B28,NoofMillionaires!$A$1:$B$27,2,FALSE)</f>
        <v>796000</v>
      </c>
      <c r="H28" s="65">
        <f>VLOOKUP(B28,'Inflation Rate'!$A$1:$B$27,2,FALSE)</f>
        <v>4.5999999999999999E-2</v>
      </c>
      <c r="I28" s="66">
        <f>VLOOKUP(B28,Population!$A$1:$B$27,2,FALSE)</f>
        <v>1454606724</v>
      </c>
      <c r="J28" s="66">
        <f>VLOOKUP(B28,'Search Volume'!$A$2:$C$28,2,FALSE)</f>
        <v>3792180</v>
      </c>
      <c r="K28" s="1">
        <f>VLOOKUP(B28,'Search Volume'!$A$2:$C$28,3,FALSE)</f>
        <v>206010</v>
      </c>
      <c r="L28" s="1">
        <f>VLOOKUP(B28,'Search Volume'!$A$2:$E$28,4,FALSE)</f>
        <v>2800880</v>
      </c>
      <c r="M28" s="1">
        <f>VLOOKUP(B28,'Search Volume'!$A$2:$E$28,5,FALSE)</f>
        <v>111580</v>
      </c>
      <c r="N28" s="1" t="e">
        <f>VLOOKUP(B28,'Search Volume'!$A$2:$C$14,6,FALSE)</f>
        <v>#REF!</v>
      </c>
      <c r="O28" s="91">
        <f>VLOOKUP(B28,'GDP Per Capita'!$A$1:$B$27,2,FALSE)</f>
        <v>2696.6638998446301</v>
      </c>
      <c r="P28" s="68">
        <f>VLOOKUP(B28,StandardofLiving!$A$1:$B$27,2,FALSE)</f>
        <v>0.68500000000000005</v>
      </c>
      <c r="Q28" s="92">
        <f>VLOOKUP(B28,MAS!$A$1:$B$27,2,FALSE)</f>
        <v>10475</v>
      </c>
      <c r="R28" s="66">
        <f>VLOOKUP(B28,GDP!$A$2:$D$28,3,FALSE)</f>
        <v>4187</v>
      </c>
      <c r="S28" s="4">
        <f>VLOOKUP(B28,GDP!$A$2:$D$28,4,FALSE)</f>
        <v>7.1117932975185427E-2</v>
      </c>
      <c r="T28" s="85">
        <f>VLOOKUP(B28,DPI!$A$1:$B$27,2,FALSE)</f>
        <v>2531</v>
      </c>
      <c r="U28" s="2">
        <f>VLOOKUP(B28,'Cost of Media'!$A$1:$B$27,2,FALSE)</f>
        <v>0.21913073487205104</v>
      </c>
      <c r="V28" s="2">
        <v>9.1481187355667597</v>
      </c>
      <c r="W28" s="4">
        <f t="shared" si="4"/>
        <v>2.8917899219220972E-2</v>
      </c>
      <c r="X28" s="102">
        <f t="shared" ref="X28" si="5">W28*$X$1</f>
        <v>687089.28544869029</v>
      </c>
      <c r="AI28" s="49"/>
      <c r="AK28" s="48"/>
      <c r="AM28" s="50"/>
    </row>
    <row r="29" spans="2:51">
      <c r="B29" t="s">
        <v>225</v>
      </c>
      <c r="C29" s="1">
        <f>AVERAGE(C3:C27)</f>
        <v>323.33199999999999</v>
      </c>
      <c r="D29" s="1" t="e">
        <f>AVERAGE(D3:D27)</f>
        <v>#N/A</v>
      </c>
      <c r="E29" s="1">
        <f>AVERAGE(E3:E27)</f>
        <v>40824639.6875</v>
      </c>
      <c r="F29" s="1">
        <f>AVERAGE(F3:F27)</f>
        <v>6.5139999999999993</v>
      </c>
      <c r="G29" s="1">
        <f>AVERAGE(G3:G27)</f>
        <v>2063952.28</v>
      </c>
      <c r="H29" s="68">
        <f t="shared" ref="H29:N29" si="6">AVERAGE(H4:H27)</f>
        <v>4.6708333333333345E-2</v>
      </c>
      <c r="I29" s="66">
        <f t="shared" si="6"/>
        <v>115574490.16666667</v>
      </c>
      <c r="J29" s="66">
        <f t="shared" si="6"/>
        <v>627337</v>
      </c>
      <c r="K29" s="1">
        <f t="shared" si="6"/>
        <v>18744.416666666668</v>
      </c>
      <c r="L29" s="1">
        <f t="shared" si="6"/>
        <v>544941.75</v>
      </c>
      <c r="M29" s="1">
        <f t="shared" si="6"/>
        <v>12169.666666666666</v>
      </c>
      <c r="N29" s="1" t="e">
        <f t="shared" si="6"/>
        <v>#REF!</v>
      </c>
      <c r="O29" s="66">
        <f>AVERAGE(O3:O27)</f>
        <v>35785.783538913332</v>
      </c>
      <c r="P29" s="66">
        <f>AVERAGE(P3:P27)</f>
        <v>0.88252000000000008</v>
      </c>
      <c r="Q29" s="66">
        <f>AVERAGE(Q3:Q27)</f>
        <v>32949.24</v>
      </c>
      <c r="R29" s="66">
        <f>AVERAGE(R3:R27)</f>
        <v>3293.6010399999996</v>
      </c>
      <c r="S29" s="53">
        <f>AVERAGE(S4:S27)</f>
        <v>1.8657215598802641E-2</v>
      </c>
      <c r="T29" s="1">
        <f>AVERAGE(T3:T27)</f>
        <v>23987.96</v>
      </c>
      <c r="U29" s="2" t="e">
        <f>AVERAGE(U4:U27)</f>
        <v>#N/A</v>
      </c>
      <c r="V29" s="2">
        <f>AVERAGE(V4:V24)</f>
        <v>13.712544539222284</v>
      </c>
      <c r="AA29" s="1">
        <v>29410000</v>
      </c>
      <c r="AE29" s="48"/>
      <c r="AF29" s="48"/>
      <c r="AG29" s="48"/>
      <c r="AH29" s="48"/>
      <c r="AI29" s="49"/>
      <c r="AJ29" s="48"/>
      <c r="AK29" s="48"/>
      <c r="AL29" s="48"/>
      <c r="AM29" s="50"/>
      <c r="AY29" s="54"/>
    </row>
    <row r="30" spans="2:51">
      <c r="B30" t="s">
        <v>226</v>
      </c>
      <c r="C30" s="1">
        <f>STDEV(C3:C27)</f>
        <v>475.29727690502637</v>
      </c>
      <c r="D30" s="1" t="e">
        <f>STDEV(D3:D27)</f>
        <v>#N/A</v>
      </c>
      <c r="E30" s="1">
        <f>STDEV(E3:E27)</f>
        <v>44982303.365495101</v>
      </c>
      <c r="F30" s="1">
        <f>STDEV(F3:F27)</f>
        <v>4.6756389937633145</v>
      </c>
      <c r="G30" s="1">
        <f>STDEV(G3:G27)</f>
        <v>4906274.9957211213</v>
      </c>
      <c r="H30" s="68">
        <f t="shared" ref="H30:N30" si="7">STDEV(H4:H27)</f>
        <v>5.472578214958701E-2</v>
      </c>
      <c r="I30" s="66">
        <f t="shared" si="7"/>
        <v>288186324.6612162</v>
      </c>
      <c r="J30" s="66">
        <f t="shared" si="7"/>
        <v>769945.27081751777</v>
      </c>
      <c r="K30" s="1">
        <f t="shared" si="7"/>
        <v>37563.824391950235</v>
      </c>
      <c r="L30" s="1">
        <f t="shared" si="7"/>
        <v>711494.81360969879</v>
      </c>
      <c r="M30" s="1">
        <f t="shared" si="7"/>
        <v>28470.347275209242</v>
      </c>
      <c r="N30" s="1" t="e">
        <f t="shared" si="7"/>
        <v>#REF!</v>
      </c>
      <c r="O30" s="66">
        <f>STDEV(O3:O27)</f>
        <v>22799.73253204317</v>
      </c>
      <c r="P30" s="66">
        <f>STDEV(P3:P27)</f>
        <v>6.8946911944384182E-2</v>
      </c>
      <c r="Q30" s="66">
        <f>STDEV(Q3:Q27)</f>
        <v>18196.654800814355</v>
      </c>
      <c r="R30" s="66">
        <f>STDEV(R3:R27)</f>
        <v>6834.2314193801431</v>
      </c>
      <c r="S30" s="53">
        <f>STDEV(S4:S27)</f>
        <v>4.7651162290261471E-2</v>
      </c>
      <c r="T30" s="1">
        <f>STDEV(T3:T27)</f>
        <v>15810.996578014934</v>
      </c>
      <c r="U30" s="1" t="e">
        <f>STDEV(U4:U27)</f>
        <v>#N/A</v>
      </c>
      <c r="V30" s="2"/>
      <c r="AA30" s="1">
        <v>2300000</v>
      </c>
      <c r="AY30" s="55"/>
    </row>
    <row r="31" spans="2:51">
      <c r="B31" s="3" t="s">
        <v>227</v>
      </c>
      <c r="C31" s="1">
        <v>1</v>
      </c>
      <c r="D31" s="1" t="e">
        <f>VLOOKUP(B31,Spend!$A$1:$B$27,2,FALSE)</f>
        <v>#N/A</v>
      </c>
      <c r="E31" s="63">
        <v>1.5</v>
      </c>
      <c r="F31" s="69">
        <v>1</v>
      </c>
      <c r="G31" s="89" t="e">
        <f>VLOOKUP(B31,NoofMillionaires!$A$1:$B$13,2,FALSE)</f>
        <v>#N/A</v>
      </c>
      <c r="H31" s="69">
        <v>1</v>
      </c>
      <c r="I31" s="69">
        <v>1</v>
      </c>
      <c r="J31" s="69">
        <v>1</v>
      </c>
      <c r="K31" s="63">
        <v>0.1</v>
      </c>
      <c r="L31" s="63">
        <v>0.1</v>
      </c>
      <c r="M31" s="63">
        <v>0.1</v>
      </c>
      <c r="N31" s="63">
        <v>0.1</v>
      </c>
      <c r="O31" s="69">
        <v>1</v>
      </c>
      <c r="P31" s="69">
        <v>1</v>
      </c>
      <c r="Q31" s="69">
        <v>1</v>
      </c>
      <c r="R31" s="69">
        <v>1</v>
      </c>
      <c r="S31" s="56">
        <v>1</v>
      </c>
      <c r="T31" s="56">
        <v>1.25</v>
      </c>
      <c r="U31" s="56">
        <v>1</v>
      </c>
      <c r="V31" s="2"/>
      <c r="AA31" s="1">
        <v>3350000</v>
      </c>
    </row>
    <row r="32" spans="2:51">
      <c r="B32" s="57"/>
      <c r="C32" s="56"/>
      <c r="D32" s="1" t="e">
        <f>VLOOKUP(B32,Spend!$A$1:$B$27,2,FALSE)</f>
        <v>#N/A</v>
      </c>
      <c r="E32" s="56" t="s">
        <v>234</v>
      </c>
      <c r="F32" s="69"/>
      <c r="G32" s="69"/>
      <c r="H32" s="69"/>
      <c r="I32" s="69"/>
      <c r="J32" s="69"/>
      <c r="K32" s="56"/>
      <c r="L32" s="56"/>
      <c r="M32" s="56"/>
      <c r="N32" s="56"/>
      <c r="O32" s="69"/>
      <c r="P32" s="69"/>
      <c r="Q32" s="69"/>
      <c r="R32" s="69"/>
      <c r="S32" s="56"/>
      <c r="T32" s="56"/>
      <c r="U32" s="56"/>
      <c r="V32" s="2"/>
      <c r="AA32" s="62">
        <f>AA29-AA30-AA31</f>
        <v>23760000</v>
      </c>
    </row>
    <row r="33" spans="2:38">
      <c r="B33" s="58"/>
      <c r="C33" s="2" t="s">
        <v>235</v>
      </c>
      <c r="D33" s="1" t="e">
        <f>VLOOKUP(B33,Spend!$A$1:$B$27,2,FALSE)</f>
        <v>#N/A</v>
      </c>
      <c r="E33" s="2">
        <v>2</v>
      </c>
      <c r="F33" s="68"/>
      <c r="G33" s="68"/>
      <c r="H33" s="68"/>
      <c r="I33" s="68"/>
      <c r="J33" s="68"/>
      <c r="K33" s="2"/>
      <c r="L33" s="2"/>
      <c r="M33" s="2"/>
      <c r="N33" s="2"/>
      <c r="O33" s="68"/>
      <c r="P33" s="68"/>
      <c r="Q33" s="68"/>
      <c r="R33" s="68"/>
      <c r="S33" s="2"/>
      <c r="T33" s="2" t="s">
        <v>236</v>
      </c>
      <c r="U33" s="2"/>
      <c r="V33" s="2"/>
      <c r="AJ33" s="48"/>
      <c r="AK33" s="48"/>
      <c r="AL33" s="59"/>
    </row>
    <row r="34" spans="2:38">
      <c r="C34" s="2" t="s">
        <v>237</v>
      </c>
      <c r="D34" s="1" t="e">
        <f>VLOOKUP(B34,Spend!$A$1:$B$27,2,FALSE)</f>
        <v>#N/A</v>
      </c>
      <c r="E34" s="2"/>
      <c r="F34" s="68"/>
      <c r="G34" s="68"/>
      <c r="H34" s="68"/>
      <c r="I34" s="68"/>
      <c r="J34" s="68"/>
      <c r="K34" s="2"/>
      <c r="L34" s="2"/>
      <c r="M34" s="2"/>
      <c r="N34" s="2"/>
      <c r="O34" s="68"/>
      <c r="P34" s="68"/>
      <c r="Q34" s="68"/>
      <c r="R34" s="68"/>
      <c r="S34" s="2"/>
      <c r="T34" s="2"/>
      <c r="U34" s="2"/>
      <c r="V34" s="2"/>
      <c r="AJ34" s="48"/>
      <c r="AK34" s="48"/>
      <c r="AL34" s="60"/>
    </row>
    <row r="35" spans="2:38"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40"/>
      <c r="V35" s="61"/>
      <c r="Z35" s="1"/>
      <c r="AA35" s="1"/>
    </row>
    <row r="36" spans="2:38" ht="66.5" customHeight="1">
      <c r="B36" s="40" t="s">
        <v>212</v>
      </c>
      <c r="C36" s="41" t="str">
        <f t="shared" ref="C36:U36" si="8">C2</f>
        <v>Trips(000s)</v>
      </c>
      <c r="D36" s="41" t="str">
        <f t="shared" si="8"/>
        <v>Spend(m-euro)</v>
      </c>
      <c r="E36" s="41" t="str">
        <f t="shared" si="8"/>
        <v>Tourist Departures</v>
      </c>
      <c r="F36" s="64" t="str">
        <f t="shared" si="8"/>
        <v>Hourly Minimum Wage</v>
      </c>
      <c r="G36" s="64" t="str">
        <f t="shared" si="8"/>
        <v>NoofMillionaires</v>
      </c>
      <c r="H36" s="64" t="str">
        <f t="shared" si="8"/>
        <v>Inflation Rate</v>
      </c>
      <c r="I36" s="64" t="str">
        <f t="shared" si="8"/>
        <v>Population(m)</v>
      </c>
      <c r="J36" s="64" t="str">
        <f t="shared" si="8"/>
        <v>SV -Abu Dhabi</v>
      </c>
      <c r="K36" s="41" t="str">
        <f t="shared" si="8"/>
        <v>SV - Flights to Abu Dhabi</v>
      </c>
      <c r="L36" s="41" t="str">
        <f t="shared" si="8"/>
        <v>23SV -Abu Dhabi</v>
      </c>
      <c r="M36" s="41" t="str">
        <f t="shared" si="8"/>
        <v>23SV - Flights to Abu Dhabi</v>
      </c>
      <c r="N36" s="41" t="e">
        <f t="shared" si="8"/>
        <v>#REF!</v>
      </c>
      <c r="O36" s="64" t="str">
        <f t="shared" si="8"/>
        <v>GDP Per Capita</v>
      </c>
      <c r="P36" s="64" t="str">
        <f t="shared" si="8"/>
        <v>HDI</v>
      </c>
      <c r="Q36" s="64" t="str">
        <f t="shared" si="8"/>
        <v>Median Annual Salary (USD)</v>
      </c>
      <c r="R36" s="64" t="str">
        <f t="shared" si="8"/>
        <v>GDP - 2025</v>
      </c>
      <c r="S36" s="41" t="str">
        <f t="shared" si="8"/>
        <v>GDP - Growth</v>
      </c>
      <c r="T36" s="41" t="str">
        <f t="shared" si="8"/>
        <v>Disposable Personal Income (USD)</v>
      </c>
      <c r="U36" s="41" t="str">
        <f t="shared" si="8"/>
        <v>Media Cost</v>
      </c>
      <c r="V36" s="41" t="s">
        <v>228</v>
      </c>
      <c r="W36" s="41"/>
      <c r="X36" s="41"/>
      <c r="Y36" s="41"/>
    </row>
    <row r="37" spans="2:38">
      <c r="B37" t="str">
        <f t="shared" ref="B37:B43" si="9">B4</f>
        <v>USA</v>
      </c>
      <c r="C37" s="2">
        <f t="shared" ref="C37:U37" si="10">_xlfn.NORM.DIST(C4,C$29,C$30,TRUE)</f>
        <v>0.78895443125584097</v>
      </c>
      <c r="D37" s="2" t="e">
        <f t="shared" si="10"/>
        <v>#N/A</v>
      </c>
      <c r="E37" s="2">
        <f t="shared" si="10"/>
        <v>0.99808826166785913</v>
      </c>
      <c r="F37" s="68">
        <f t="shared" si="10"/>
        <v>0.56253977961427715</v>
      </c>
      <c r="G37" s="68">
        <f t="shared" si="10"/>
        <v>0.99999754799354423</v>
      </c>
      <c r="H37" s="68">
        <f t="shared" si="10"/>
        <v>0.38704193192036623</v>
      </c>
      <c r="I37" s="68">
        <f t="shared" si="10"/>
        <v>0.78942771150095914</v>
      </c>
      <c r="J37" s="68">
        <f t="shared" si="10"/>
        <v>0.99912408970748645</v>
      </c>
      <c r="K37" s="2">
        <f t="shared" si="10"/>
        <v>0.9152084270773011</v>
      </c>
      <c r="L37" s="2">
        <f t="shared" si="10"/>
        <v>0.99963322061783233</v>
      </c>
      <c r="M37" s="2">
        <f t="shared" si="10"/>
        <v>0.90094671242681379</v>
      </c>
      <c r="N37" s="2" t="e">
        <f t="shared" si="10"/>
        <v>#REF!</v>
      </c>
      <c r="O37" s="68">
        <f t="shared" si="10"/>
        <v>0.9858846656900232</v>
      </c>
      <c r="P37" s="68">
        <f t="shared" si="10"/>
        <v>0.78949697633422111</v>
      </c>
      <c r="Q37" s="68">
        <f t="shared" si="10"/>
        <v>0.97108496416939449</v>
      </c>
      <c r="R37" s="68">
        <f t="shared" si="10"/>
        <v>0.99996582036603854</v>
      </c>
      <c r="S37" s="2">
        <f t="shared" si="10"/>
        <v>0.7121972430651542</v>
      </c>
      <c r="T37" s="2">
        <f t="shared" si="10"/>
        <v>0.99028984398795517</v>
      </c>
      <c r="U37" s="2" t="e">
        <f t="shared" si="10"/>
        <v>#N/A</v>
      </c>
      <c r="V37" s="2" t="e">
        <f>SUMPRODUCT($C$31:$U$31,C37:U37)</f>
        <v>#N/A</v>
      </c>
      <c r="W37" s="53"/>
      <c r="X37" s="53"/>
      <c r="Y37" s="53"/>
    </row>
    <row r="38" spans="2:38">
      <c r="B38" t="str">
        <f t="shared" si="9"/>
        <v>UK</v>
      </c>
      <c r="C38" s="2">
        <f t="shared" ref="C38:U38" si="11">_xlfn.NORM.DIST(C5,C$29,C$30,TRUE)</f>
        <v>0.9737706617231201</v>
      </c>
      <c r="D38" s="2" t="e">
        <f t="shared" si="11"/>
        <v>#N/A</v>
      </c>
      <c r="E38" s="2">
        <f t="shared" si="11"/>
        <v>0.87734579895088394</v>
      </c>
      <c r="F38" s="68">
        <f t="shared" si="11"/>
        <v>0.95206625561721381</v>
      </c>
      <c r="G38" s="68">
        <f t="shared" si="11"/>
        <v>0.56356297271959299</v>
      </c>
      <c r="H38" s="68">
        <f t="shared" si="11"/>
        <v>0.3731268761299853</v>
      </c>
      <c r="I38" s="68">
        <f t="shared" si="11"/>
        <v>0.43659739959658234</v>
      </c>
      <c r="J38" s="68">
        <f t="shared" si="11"/>
        <v>0.98237345525707165</v>
      </c>
      <c r="K38" s="2">
        <f t="shared" si="11"/>
        <v>0.99996861357621458</v>
      </c>
      <c r="L38" s="2">
        <f t="shared" si="11"/>
        <v>0.95897010369318425</v>
      </c>
      <c r="M38" s="2">
        <f t="shared" si="11"/>
        <v>0.99999360007520421</v>
      </c>
      <c r="N38" s="2" t="e">
        <f t="shared" si="11"/>
        <v>#REF!</v>
      </c>
      <c r="O38" s="68">
        <f t="shared" si="11"/>
        <v>0.77007314306350216</v>
      </c>
      <c r="P38" s="68">
        <f t="shared" si="11"/>
        <v>0.821398651566981</v>
      </c>
      <c r="Q38" s="68">
        <f t="shared" si="11"/>
        <v>0.75457565401640059</v>
      </c>
      <c r="R38" s="68">
        <f t="shared" si="11"/>
        <v>0.53180342596165064</v>
      </c>
      <c r="S38" s="2">
        <f t="shared" si="11"/>
        <v>0.76775401709738034</v>
      </c>
      <c r="T38" s="2">
        <f t="shared" si="11"/>
        <v>0.77774421156755691</v>
      </c>
      <c r="U38" s="2" t="e">
        <f t="shared" si="11"/>
        <v>#N/A</v>
      </c>
      <c r="V38" s="2" t="e">
        <f t="shared" ref="V38:V48" si="12">SUMPRODUCT($C$31:$U$31,C38:U38)</f>
        <v>#N/A</v>
      </c>
      <c r="W38" s="53"/>
      <c r="X38" s="53"/>
      <c r="Y38" s="53"/>
    </row>
    <row r="39" spans="2:38">
      <c r="B39" t="str">
        <f t="shared" si="9"/>
        <v>Germany</v>
      </c>
      <c r="C39" s="2">
        <f t="shared" ref="C39:U39" si="13">_xlfn.NORM.DIST(C6,C$29,C$30,TRUE)</f>
        <v>0.64822642567597089</v>
      </c>
      <c r="D39" s="2" t="e">
        <f t="shared" si="13"/>
        <v>#N/A</v>
      </c>
      <c r="E39" s="2">
        <f t="shared" si="13"/>
        <v>0.90407800353679835</v>
      </c>
      <c r="F39" s="68">
        <f t="shared" si="13"/>
        <v>0.9416740973368144</v>
      </c>
      <c r="G39" s="68">
        <f t="shared" si="13"/>
        <v>0.55020317662326712</v>
      </c>
      <c r="H39" s="68">
        <f t="shared" si="13"/>
        <v>0.35256607333886408</v>
      </c>
      <c r="I39" s="68">
        <f t="shared" si="13"/>
        <v>0.45582769886171537</v>
      </c>
      <c r="J39" s="68">
        <f t="shared" si="13"/>
        <v>0.83716329414171231</v>
      </c>
      <c r="K39" s="2">
        <f t="shared" si="13"/>
        <v>0.36249948776758745</v>
      </c>
      <c r="L39" s="2">
        <f t="shared" si="13"/>
        <v>0.87139718967330926</v>
      </c>
      <c r="M39" s="2">
        <f t="shared" si="13"/>
        <v>0.38465563731184382</v>
      </c>
      <c r="N39" s="2" t="e">
        <f t="shared" si="13"/>
        <v>#REF!</v>
      </c>
      <c r="O39" s="68">
        <f t="shared" si="13"/>
        <v>0.80998375552850066</v>
      </c>
      <c r="P39" s="68">
        <f t="shared" si="13"/>
        <v>0.86634082102766474</v>
      </c>
      <c r="Q39" s="68">
        <f t="shared" si="13"/>
        <v>0.88778367074447206</v>
      </c>
      <c r="R39" s="68">
        <f t="shared" si="13"/>
        <v>0.58403448766348309</v>
      </c>
      <c r="S39" s="2">
        <f t="shared" si="13"/>
        <v>0.4983728285292327</v>
      </c>
      <c r="T39" s="2">
        <f t="shared" si="13"/>
        <v>0.87810860075140296</v>
      </c>
      <c r="U39" s="2" t="e">
        <f t="shared" si="13"/>
        <v>#N/A</v>
      </c>
      <c r="V39" s="2" t="e">
        <f t="shared" si="12"/>
        <v>#N/A</v>
      </c>
      <c r="W39" s="53"/>
      <c r="X39" s="53"/>
      <c r="Y39" s="53"/>
    </row>
    <row r="40" spans="2:38">
      <c r="B40" t="str">
        <f t="shared" si="9"/>
        <v>France</v>
      </c>
      <c r="C40" s="2">
        <f t="shared" ref="C40:U40" si="14">_xlfn.NORM.DIST(C7,C$29,C$30,TRUE)</f>
        <v>0.59197530386041963</v>
      </c>
      <c r="D40" s="2" t="e">
        <f t="shared" si="14"/>
        <v>#N/A</v>
      </c>
      <c r="E40" s="2">
        <f t="shared" si="14"/>
        <v>0.574515381413786</v>
      </c>
      <c r="F40" s="68">
        <f t="shared" si="14"/>
        <v>0.91599635457188155</v>
      </c>
      <c r="G40" s="68">
        <f t="shared" si="14"/>
        <v>0.55930462224770205</v>
      </c>
      <c r="H40" s="68">
        <f t="shared" si="14"/>
        <v>0.36622965694053317</v>
      </c>
      <c r="I40" s="68">
        <f t="shared" si="14"/>
        <v>0.4326076644604081</v>
      </c>
      <c r="J40" s="68">
        <f t="shared" si="14"/>
        <v>0.81572977000458402</v>
      </c>
      <c r="K40" s="2">
        <f t="shared" si="14"/>
        <v>0.34970121015477418</v>
      </c>
      <c r="L40" s="2">
        <f t="shared" si="14"/>
        <v>0.81223813113363474</v>
      </c>
      <c r="M40" s="2">
        <f t="shared" si="14"/>
        <v>0.37143733740524287</v>
      </c>
      <c r="N40" s="2" t="e">
        <f t="shared" si="14"/>
        <v>#REF!</v>
      </c>
      <c r="O40" s="68">
        <f t="shared" si="14"/>
        <v>0.67530062636777077</v>
      </c>
      <c r="P40" s="68">
        <f t="shared" si="14"/>
        <v>0.70664390952271905</v>
      </c>
      <c r="Q40" s="68">
        <f t="shared" si="14"/>
        <v>0.79703398283382865</v>
      </c>
      <c r="R40" s="68">
        <f t="shared" si="14"/>
        <v>0.49517835394237186</v>
      </c>
      <c r="S40" s="2">
        <f t="shared" si="14"/>
        <v>0.47355760965413901</v>
      </c>
      <c r="T40" s="2">
        <f t="shared" si="14"/>
        <v>0.75695560094016368</v>
      </c>
      <c r="U40" s="2" t="e">
        <f t="shared" si="14"/>
        <v>#N/A</v>
      </c>
      <c r="V40" s="2" t="e">
        <f t="shared" si="12"/>
        <v>#N/A</v>
      </c>
      <c r="W40" s="53"/>
      <c r="X40" s="53"/>
      <c r="Y40" s="53"/>
    </row>
    <row r="41" spans="2:38">
      <c r="B41" t="str">
        <f t="shared" si="9"/>
        <v>Egypt</v>
      </c>
      <c r="C41" s="2">
        <f t="shared" ref="C41:U41" si="15">_xlfn.NORM.DIST(C8,C$29,C$30,TRUE)</f>
        <v>0.37349822160970053</v>
      </c>
      <c r="D41" s="2" t="e">
        <f t="shared" si="15"/>
        <v>#N/A</v>
      </c>
      <c r="E41" s="2">
        <f t="shared" si="15"/>
        <v>0.51987011463852517</v>
      </c>
      <c r="F41" s="68">
        <f t="shared" si="15"/>
        <v>0.10803422924179451</v>
      </c>
      <c r="G41" s="68">
        <f t="shared" si="15"/>
        <v>0.34349484512155393</v>
      </c>
      <c r="H41" s="68">
        <f t="shared" si="15"/>
        <v>0.99999143951214098</v>
      </c>
      <c r="I41" s="68">
        <f t="shared" si="15"/>
        <v>0.50097037298036451</v>
      </c>
      <c r="J41" s="68">
        <f t="shared" si="15"/>
        <v>0.2775085658466484</v>
      </c>
      <c r="K41" s="2">
        <f t="shared" si="15"/>
        <v>0.456601669494832</v>
      </c>
      <c r="L41" s="2">
        <f t="shared" si="15"/>
        <v>0.28898983591675198</v>
      </c>
      <c r="M41" s="2">
        <f t="shared" si="15"/>
        <v>0.44733128085874879</v>
      </c>
      <c r="N41" s="2" t="e">
        <f t="shared" si="15"/>
        <v>#REF!</v>
      </c>
      <c r="O41" s="68">
        <f t="shared" si="15"/>
        <v>7.7347161516839055E-2</v>
      </c>
      <c r="P41" s="68">
        <f t="shared" si="15"/>
        <v>3.1157841762961262E-2</v>
      </c>
      <c r="Q41" s="68">
        <f t="shared" si="15"/>
        <v>0.13055081402227386</v>
      </c>
      <c r="R41" s="68">
        <f t="shared" si="15"/>
        <v>0.33319666669324188</v>
      </c>
      <c r="S41" s="2">
        <f t="shared" si="15"/>
        <v>9.3672279262965695E-3</v>
      </c>
      <c r="T41" s="2">
        <f t="shared" si="15"/>
        <v>8.2854925299905388E-2</v>
      </c>
      <c r="U41" s="2" t="e">
        <f t="shared" si="15"/>
        <v>#N/A</v>
      </c>
      <c r="V41" s="2" t="e">
        <f t="shared" si="12"/>
        <v>#N/A</v>
      </c>
      <c r="W41" s="53"/>
      <c r="X41" s="53"/>
      <c r="Y41" s="53"/>
    </row>
    <row r="42" spans="2:38">
      <c r="B42" t="str">
        <f t="shared" si="9"/>
        <v>Khazakstan</v>
      </c>
      <c r="C42" s="2">
        <f t="shared" ref="C42:U42" si="16">_xlfn.NORM.DIST(C9,C$29,C$30,TRUE)</f>
        <v>0.29993719095200488</v>
      </c>
      <c r="D42" s="2" t="e">
        <f t="shared" si="16"/>
        <v>#N/A</v>
      </c>
      <c r="E42" s="2">
        <f t="shared" si="16"/>
        <v>0.25157420215385345</v>
      </c>
      <c r="F42" s="68">
        <f t="shared" si="16"/>
        <v>0.12301313701597476</v>
      </c>
      <c r="G42" s="68">
        <f t="shared" si="16"/>
        <v>0.34029969392713427</v>
      </c>
      <c r="H42" s="68">
        <f t="shared" si="16"/>
        <v>0.76920965696353649</v>
      </c>
      <c r="I42" s="68">
        <f t="shared" si="16"/>
        <v>0.37056583706065849</v>
      </c>
      <c r="J42" s="68">
        <f t="shared" si="16"/>
        <v>0.23533232978730412</v>
      </c>
      <c r="K42" s="2">
        <f t="shared" si="16"/>
        <v>0.31161363732172276</v>
      </c>
      <c r="L42" s="2">
        <f t="shared" si="16"/>
        <v>0.24236523209945959</v>
      </c>
      <c r="M42" s="2">
        <f t="shared" si="16"/>
        <v>0.336958972404791</v>
      </c>
      <c r="N42" s="2" t="e">
        <f t="shared" si="16"/>
        <v>#N/A</v>
      </c>
      <c r="O42" s="68">
        <f t="shared" si="16"/>
        <v>7.6229777021641604E-2</v>
      </c>
      <c r="P42" s="68">
        <f t="shared" si="16"/>
        <v>1.9362476515800465E-2</v>
      </c>
      <c r="Q42" s="68">
        <f t="shared" si="16"/>
        <v>0.14069787492891372</v>
      </c>
      <c r="R42" s="68">
        <f t="shared" si="16"/>
        <v>0.33071066048709796</v>
      </c>
      <c r="S42" s="2">
        <f t="shared" si="16"/>
        <v>0.77856605221635133</v>
      </c>
      <c r="T42" s="2">
        <f t="shared" si="16"/>
        <v>0.1824144174426828</v>
      </c>
      <c r="U42" s="2" t="e">
        <f t="shared" si="16"/>
        <v>#N/A</v>
      </c>
      <c r="V42" s="2" t="e">
        <f t="shared" si="12"/>
        <v>#N/A</v>
      </c>
      <c r="W42" s="53"/>
      <c r="X42" s="53"/>
      <c r="Y42" s="53"/>
    </row>
    <row r="43" spans="2:38">
      <c r="B43" t="str">
        <f t="shared" si="9"/>
        <v>Bahrain</v>
      </c>
      <c r="C43" s="2">
        <f t="shared" ref="C43:U43" si="17">_xlfn.NORM.DIST(C10,C$29,C$30,TRUE)</f>
        <v>0.28432989315238311</v>
      </c>
      <c r="D43" s="2" t="e">
        <f t="shared" si="17"/>
        <v>#N/A</v>
      </c>
      <c r="E43" s="2">
        <f t="shared" si="17"/>
        <v>0.19989683720569318</v>
      </c>
      <c r="F43" s="68">
        <f t="shared" si="17"/>
        <v>0.54139271334019656</v>
      </c>
      <c r="G43" s="68">
        <f t="shared" si="17"/>
        <v>0.33885849431471959</v>
      </c>
      <c r="H43" s="68">
        <f t="shared" si="17"/>
        <v>0.31926096338104393</v>
      </c>
      <c r="I43" s="68">
        <f t="shared" si="17"/>
        <v>0.34622655460136381</v>
      </c>
      <c r="J43" s="68">
        <f t="shared" si="17"/>
        <v>0.24441774208211492</v>
      </c>
      <c r="K43" s="2">
        <f t="shared" si="17"/>
        <v>0.43157813850615223</v>
      </c>
      <c r="L43" s="2">
        <f t="shared" si="17"/>
        <v>0.25994765225080402</v>
      </c>
      <c r="M43" s="2">
        <f t="shared" si="17"/>
        <v>0.50126579859322185</v>
      </c>
      <c r="N43" s="2" t="e">
        <f t="shared" si="17"/>
        <v>#N/A</v>
      </c>
      <c r="O43" s="68">
        <f t="shared" si="17"/>
        <v>0.40065558212645813</v>
      </c>
      <c r="P43" s="68">
        <f t="shared" si="17"/>
        <v>0.59445670099400005</v>
      </c>
      <c r="Q43" s="68">
        <f t="shared" si="17"/>
        <v>0.90118887633787026</v>
      </c>
      <c r="R43" s="68">
        <f t="shared" si="17"/>
        <v>0.31741892860683452</v>
      </c>
      <c r="S43" s="2">
        <f t="shared" si="17"/>
        <v>0.50181455430424349</v>
      </c>
      <c r="T43" s="2">
        <f t="shared" si="17"/>
        <v>0.5493042138696258</v>
      </c>
      <c r="U43" s="2" t="e">
        <f t="shared" si="17"/>
        <v>#N/A</v>
      </c>
      <c r="V43" s="2" t="e">
        <f t="shared" si="12"/>
        <v>#N/A</v>
      </c>
      <c r="W43" s="53"/>
      <c r="X43" s="53"/>
      <c r="Y43" s="53"/>
    </row>
    <row r="44" spans="2:38">
      <c r="B44" t="str">
        <f t="shared" ref="B44:B48" si="18">B23</f>
        <v>Italy</v>
      </c>
      <c r="C44" s="2">
        <f t="shared" ref="C44:U44" si="19">_xlfn.NORM.DIST(C23,C$29,C$30,TRUE)</f>
        <v>0.43620484282475774</v>
      </c>
      <c r="D44" s="2" t="e">
        <f t="shared" si="19"/>
        <v>#N/A</v>
      </c>
      <c r="E44" s="2">
        <f t="shared" si="19"/>
        <v>0.68273141432062556</v>
      </c>
      <c r="F44" s="68">
        <f t="shared" si="19"/>
        <v>0.77203534999882173</v>
      </c>
      <c r="G44" s="68">
        <f t="shared" si="19"/>
        <v>0.44722422063403849</v>
      </c>
      <c r="H44" s="68">
        <f t="shared" si="19"/>
        <v>0.31926096338104393</v>
      </c>
      <c r="I44" s="68">
        <f t="shared" si="19"/>
        <v>0.42209352903501668</v>
      </c>
      <c r="J44" s="68">
        <f t="shared" si="19"/>
        <v>0.72017351683292041</v>
      </c>
      <c r="K44" s="2">
        <f t="shared" si="19"/>
        <v>0.34116421795333784</v>
      </c>
      <c r="L44" s="2">
        <f t="shared" si="19"/>
        <v>0.78615320188081905</v>
      </c>
      <c r="M44" s="2">
        <f t="shared" si="19"/>
        <v>0.37662744005280935</v>
      </c>
      <c r="N44" s="2" t="e">
        <f t="shared" si="19"/>
        <v>#REF!</v>
      </c>
      <c r="O44" s="68">
        <f t="shared" si="19"/>
        <v>0.57720593767921968</v>
      </c>
      <c r="P44" s="68">
        <f t="shared" si="19"/>
        <v>0.68121072744806688</v>
      </c>
      <c r="Q44" s="68">
        <f t="shared" si="19"/>
        <v>0.71693948963460408</v>
      </c>
      <c r="R44" s="68">
        <f t="shared" si="19"/>
        <v>0.44925864092824752</v>
      </c>
      <c r="S44" s="2">
        <f t="shared" si="19"/>
        <v>0.52026895413513385</v>
      </c>
      <c r="T44" s="2">
        <f t="shared" si="19"/>
        <v>0.75101758518767781</v>
      </c>
      <c r="U44" s="2" t="e">
        <f t="shared" si="19"/>
        <v>#N/A</v>
      </c>
      <c r="V44" s="2" t="e">
        <f t="shared" si="12"/>
        <v>#N/A</v>
      </c>
      <c r="W44" s="53"/>
      <c r="X44" s="53"/>
      <c r="Y44" s="1"/>
    </row>
    <row r="45" spans="2:38">
      <c r="B45" t="str">
        <f t="shared" si="18"/>
        <v>China</v>
      </c>
      <c r="C45" s="2">
        <f t="shared" ref="C45:U45" si="20">_xlfn.NORM.DIST(C24,C$29,C$30,TRUE)</f>
        <v>0.37908884413708749</v>
      </c>
      <c r="D45" s="2" t="e">
        <f t="shared" si="20"/>
        <v>#N/A</v>
      </c>
      <c r="E45" s="2">
        <f t="shared" si="20"/>
        <v>0.99429764431182066</v>
      </c>
      <c r="F45" s="68">
        <f t="shared" si="20"/>
        <v>0.169855656896163</v>
      </c>
      <c r="G45" s="68">
        <f t="shared" si="20"/>
        <v>0.79981863638188333</v>
      </c>
      <c r="H45" s="68">
        <f t="shared" si="20"/>
        <v>0.25118399395426655</v>
      </c>
      <c r="I45" s="68">
        <f t="shared" si="20"/>
        <v>0.99999720765550104</v>
      </c>
      <c r="J45" s="68">
        <f t="shared" si="20"/>
        <v>0.21989983920680925</v>
      </c>
      <c r="K45" s="2">
        <f t="shared" si="20"/>
        <v>0.31039098363794704</v>
      </c>
      <c r="L45" s="2">
        <f t="shared" si="20"/>
        <v>0.23085612532295377</v>
      </c>
      <c r="M45" s="2">
        <f t="shared" si="20"/>
        <v>0.33657429597956823</v>
      </c>
      <c r="N45" s="2" t="e">
        <f t="shared" si="20"/>
        <v>#REF!</v>
      </c>
      <c r="O45" s="68">
        <f t="shared" si="20"/>
        <v>0.16204396801740861</v>
      </c>
      <c r="P45" s="68">
        <f t="shared" si="20"/>
        <v>0.10741843116530761</v>
      </c>
      <c r="Q45" s="68">
        <f t="shared" si="20"/>
        <v>0.1185287930704506</v>
      </c>
      <c r="R45" s="68">
        <f t="shared" si="20"/>
        <v>0.99014954392086907</v>
      </c>
      <c r="S45" s="2">
        <f t="shared" si="20"/>
        <v>0.55926879814559971</v>
      </c>
      <c r="T45" s="2">
        <f t="shared" si="20"/>
        <v>0.1241973254308411</v>
      </c>
      <c r="U45" s="2" t="e">
        <f t="shared" si="20"/>
        <v>#N/A</v>
      </c>
      <c r="V45" s="2" t="e">
        <f t="shared" si="12"/>
        <v>#N/A</v>
      </c>
      <c r="W45" s="53"/>
      <c r="X45" s="53"/>
      <c r="Y45" s="1"/>
    </row>
    <row r="46" spans="2:38">
      <c r="B46" t="str">
        <f t="shared" si="18"/>
        <v>Saudi Arabia</v>
      </c>
      <c r="C46" s="2">
        <f t="shared" ref="C46:U46" si="21">_xlfn.NORM.DIST(C25,C$29,C$30,TRUE)</f>
        <v>0.99124735589587254</v>
      </c>
      <c r="D46" s="2" t="e">
        <f t="shared" si="21"/>
        <v>#N/A</v>
      </c>
      <c r="E46" s="2">
        <f t="shared" si="21"/>
        <v>0.38095338680636598</v>
      </c>
      <c r="F46" s="68">
        <f t="shared" si="21"/>
        <v>0.46982428280383687</v>
      </c>
      <c r="G46" s="68">
        <f t="shared" si="21"/>
        <v>0.36059075580657518</v>
      </c>
      <c r="H46" s="68">
        <f t="shared" si="21"/>
        <v>0.30631873596034775</v>
      </c>
      <c r="I46" s="68">
        <f t="shared" si="21"/>
        <v>0.39388153184231894</v>
      </c>
      <c r="J46" s="68">
        <f t="shared" si="21"/>
        <v>0.37913809244219127</v>
      </c>
      <c r="K46" s="2">
        <f t="shared" si="21"/>
        <v>0.48699852582417957</v>
      </c>
      <c r="L46" s="2">
        <f t="shared" si="21"/>
        <v>0.33607101035761144</v>
      </c>
      <c r="M46" s="2">
        <f t="shared" si="21"/>
        <v>0.52311244081265373</v>
      </c>
      <c r="N46" s="2" t="e">
        <f t="shared" si="21"/>
        <v>#REF!</v>
      </c>
      <c r="O46" s="68">
        <f t="shared" si="21"/>
        <v>0.48725409362991973</v>
      </c>
      <c r="P46" s="68">
        <f t="shared" si="21"/>
        <v>0.60007003956691041</v>
      </c>
      <c r="Q46" s="68">
        <f t="shared" si="21"/>
        <v>0.209713904366746</v>
      </c>
      <c r="R46" s="68">
        <f t="shared" si="21"/>
        <v>0.37321491232426396</v>
      </c>
      <c r="S46" s="2">
        <f t="shared" si="21"/>
        <v>0.33627599398923469</v>
      </c>
      <c r="T46" s="2">
        <f t="shared" si="21"/>
        <v>0.19200518881101256</v>
      </c>
      <c r="U46" s="2" t="e">
        <f t="shared" si="21"/>
        <v>#N/A</v>
      </c>
      <c r="V46" s="2" t="e">
        <f t="shared" si="12"/>
        <v>#N/A</v>
      </c>
      <c r="W46" s="53"/>
      <c r="X46" s="53"/>
      <c r="Y46" s="1"/>
      <c r="Z46" s="46"/>
    </row>
    <row r="47" spans="2:38">
      <c r="B47" t="str">
        <f t="shared" si="18"/>
        <v>Russia</v>
      </c>
      <c r="C47" s="2">
        <f t="shared" ref="C47:U47" si="22">_xlfn.NORM.DIST(C26,C$29,C$30,TRUE)</f>
        <v>0.88968418062233212</v>
      </c>
      <c r="D47" s="2" t="e">
        <f t="shared" si="22"/>
        <v>#N/A</v>
      </c>
      <c r="E47" s="2">
        <f t="shared" si="22"/>
        <v>0.53989075623543714</v>
      </c>
      <c r="F47" s="68">
        <f t="shared" si="22"/>
        <v>0.12921432477215414</v>
      </c>
      <c r="G47" s="68">
        <f t="shared" si="22"/>
        <v>0.36364700451418158</v>
      </c>
      <c r="H47" s="68">
        <f t="shared" si="22"/>
        <v>0.69741195375617571</v>
      </c>
      <c r="I47" s="68">
        <f t="shared" si="22"/>
        <v>0.53919849485448557</v>
      </c>
      <c r="J47" s="68">
        <f t="shared" si="22"/>
        <v>0.85667052993586523</v>
      </c>
      <c r="K47" s="2">
        <f t="shared" si="22"/>
        <v>0.59624036390007817</v>
      </c>
      <c r="L47" s="2">
        <f t="shared" si="22"/>
        <v>0.73622184430083526</v>
      </c>
      <c r="M47" s="2">
        <f t="shared" si="22"/>
        <v>0.5923748735935267</v>
      </c>
      <c r="N47" s="2" t="e">
        <f t="shared" si="22"/>
        <v>#REF!</v>
      </c>
      <c r="O47" s="68">
        <f t="shared" si="22"/>
        <v>0.17969303998523831</v>
      </c>
      <c r="P47" s="68">
        <f t="shared" si="22"/>
        <v>0.23185922015800642</v>
      </c>
      <c r="Q47" s="68">
        <f t="shared" si="22"/>
        <v>0.16741739415552298</v>
      </c>
      <c r="R47" s="68">
        <f t="shared" si="22"/>
        <v>0.42929783559257706</v>
      </c>
      <c r="S47" s="2">
        <f t="shared" si="22"/>
        <v>0.11180453157205915</v>
      </c>
      <c r="T47" s="2">
        <f t="shared" si="22"/>
        <v>0.17243329760741391</v>
      </c>
      <c r="U47" s="2" t="e">
        <f t="shared" si="22"/>
        <v>#N/A</v>
      </c>
      <c r="V47" s="2" t="e">
        <f t="shared" si="12"/>
        <v>#N/A</v>
      </c>
    </row>
    <row r="48" spans="2:38">
      <c r="B48" t="str">
        <f t="shared" si="18"/>
        <v>Kuwait</v>
      </c>
      <c r="C48" s="2">
        <f t="shared" ref="C48:U48" si="23">_xlfn.NORM.DIST(C27,C$29,C$30,TRUE)</f>
        <v>0.30729173408129906</v>
      </c>
      <c r="D48" s="2" t="e">
        <f t="shared" si="23"/>
        <v>#N/A</v>
      </c>
      <c r="E48" s="2">
        <f t="shared" si="23"/>
        <v>0.19989683720569318</v>
      </c>
      <c r="F48" s="68">
        <f t="shared" si="23"/>
        <v>0.13750107007153689</v>
      </c>
      <c r="G48" s="68">
        <f t="shared" si="23"/>
        <v>0.35329232207020206</v>
      </c>
      <c r="H48" s="68">
        <f t="shared" si="23"/>
        <v>0.39405555612058391</v>
      </c>
      <c r="I48" s="68">
        <f t="shared" si="23"/>
        <v>0.34981584768687146</v>
      </c>
      <c r="J48" s="68">
        <f t="shared" si="23"/>
        <v>0.27053511751221448</v>
      </c>
      <c r="K48" s="2">
        <f t="shared" si="23"/>
        <v>0.45533499423954066</v>
      </c>
      <c r="L48" s="2">
        <f t="shared" si="23"/>
        <v>0.28310102668222475</v>
      </c>
      <c r="M48" s="2">
        <f t="shared" si="23"/>
        <v>0.4922982445861136</v>
      </c>
      <c r="N48" s="2" t="e">
        <f t="shared" si="23"/>
        <v>#REF!</v>
      </c>
      <c r="O48" s="68">
        <f t="shared" si="23"/>
        <v>0.43775441521822889</v>
      </c>
      <c r="P48" s="68">
        <f t="shared" si="23"/>
        <v>0.32900604956434543</v>
      </c>
      <c r="Q48" s="68">
        <f t="shared" si="23"/>
        <v>0.55791020349139375</v>
      </c>
      <c r="R48" s="68">
        <f t="shared" si="23"/>
        <v>0.32292860979354621</v>
      </c>
      <c r="S48" s="2">
        <f t="shared" si="23"/>
        <v>0.13240951121009392</v>
      </c>
      <c r="T48" s="2">
        <f t="shared" si="23"/>
        <v>0.56560829452860006</v>
      </c>
      <c r="U48" s="2" t="e">
        <f t="shared" si="23"/>
        <v>#N/A</v>
      </c>
      <c r="V48" s="2" t="e">
        <f t="shared" si="12"/>
        <v>#N/A</v>
      </c>
    </row>
    <row r="53" spans="2:2">
      <c r="B53" s="114" t="s">
        <v>322</v>
      </c>
    </row>
    <row r="54" spans="2:2">
      <c r="B54" s="114" t="s">
        <v>229</v>
      </c>
    </row>
    <row r="55" spans="2:2">
      <c r="B55" s="114" t="s">
        <v>167</v>
      </c>
    </row>
    <row r="56" spans="2:2">
      <c r="B56" s="114" t="s">
        <v>61</v>
      </c>
    </row>
    <row r="57" spans="2:2">
      <c r="B57" s="114" t="s">
        <v>230</v>
      </c>
    </row>
    <row r="58" spans="2:2">
      <c r="B58" s="114" t="s">
        <v>165</v>
      </c>
    </row>
    <row r="59" spans="2:2">
      <c r="B59" s="114" t="s">
        <v>120</v>
      </c>
    </row>
    <row r="60" spans="2:2">
      <c r="B60" s="114" t="s">
        <v>155</v>
      </c>
    </row>
    <row r="61" spans="2:2">
      <c r="B61" s="114" t="s">
        <v>187</v>
      </c>
    </row>
    <row r="62" spans="2:2">
      <c r="B62" s="114" t="s">
        <v>139</v>
      </c>
    </row>
    <row r="63" spans="2:2">
      <c r="B63" s="114" t="s">
        <v>146</v>
      </c>
    </row>
    <row r="64" spans="2:2">
      <c r="B64" s="67" t="s">
        <v>90</v>
      </c>
    </row>
    <row r="65" spans="2:2">
      <c r="B65" s="67" t="s">
        <v>323</v>
      </c>
    </row>
    <row r="66" spans="2:2">
      <c r="B66" s="67" t="s">
        <v>161</v>
      </c>
    </row>
    <row r="67" spans="2:2">
      <c r="B67" s="67" t="s">
        <v>154</v>
      </c>
    </row>
    <row r="68" spans="2:2">
      <c r="B68" s="67" t="s">
        <v>177</v>
      </c>
    </row>
    <row r="69" spans="2:2">
      <c r="B69" s="67" t="s">
        <v>142</v>
      </c>
    </row>
    <row r="70" spans="2:2">
      <c r="B70" s="67" t="s">
        <v>136</v>
      </c>
    </row>
    <row r="71" spans="2:2">
      <c r="B71" s="67" t="s">
        <v>168</v>
      </c>
    </row>
    <row r="72" spans="2:2">
      <c r="B72" s="67" t="s">
        <v>184</v>
      </c>
    </row>
    <row r="73" spans="2:2">
      <c r="B73" s="67" t="s">
        <v>171</v>
      </c>
    </row>
    <row r="74" spans="2:2">
      <c r="B74" s="67" t="s">
        <v>89</v>
      </c>
    </row>
    <row r="75" spans="2:2">
      <c r="B75" s="67" t="s">
        <v>159</v>
      </c>
    </row>
    <row r="76" spans="2:2">
      <c r="B76" s="67" t="s">
        <v>176</v>
      </c>
    </row>
    <row r="77" spans="2:2">
      <c r="B77" s="67" t="s">
        <v>119</v>
      </c>
    </row>
    <row r="78" spans="2:2">
      <c r="B78" s="67" t="s">
        <v>183</v>
      </c>
    </row>
  </sheetData>
  <autoFilter ref="B2:AA2" xr:uid="{70267F6D-DF6A-4561-9FA1-635F9F7A6E14}">
    <sortState xmlns:xlrd2="http://schemas.microsoft.com/office/spreadsheetml/2017/richdata2" ref="B3:AA11">
      <sortCondition descending="1" ref="V2"/>
    </sortState>
  </autoFilter>
  <mergeCells count="3">
    <mergeCell ref="C1:F1"/>
    <mergeCell ref="G1:I1"/>
    <mergeCell ref="C35:U35"/>
  </mergeCells>
  <conditionalFormatting sqref="C37:U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7:V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A918-D1A2-4F2E-A80A-C06DCAB52C02}">
  <dimension ref="A1:AS35"/>
  <sheetViews>
    <sheetView zoomScale="83" zoomScaleNormal="83" workbookViewId="0">
      <selection activeCell="E25" sqref="E25"/>
    </sheetView>
  </sheetViews>
  <sheetFormatPr baseColWidth="10" defaultColWidth="8.83203125" defaultRowHeight="15"/>
  <cols>
    <col min="4" max="4" width="10.6640625" customWidth="1"/>
    <col min="5" max="5" width="14.5" bestFit="1" customWidth="1"/>
    <col min="7" max="7" width="13.83203125" bestFit="1" customWidth="1"/>
    <col min="8" max="8" width="12.5" customWidth="1"/>
    <col min="9" max="13" width="13.5" customWidth="1"/>
    <col min="14" max="14" width="9.5" bestFit="1" customWidth="1"/>
    <col min="15" max="15" width="12.1640625" customWidth="1"/>
    <col min="16" max="16" width="8.83203125" bestFit="1" customWidth="1"/>
    <col min="17" max="17" width="14.5" bestFit="1" customWidth="1"/>
    <col min="18" max="18" width="12.1640625" bestFit="1" customWidth="1"/>
    <col min="19" max="19" width="14.1640625" customWidth="1"/>
    <col min="20" max="20" width="14.83203125" customWidth="1"/>
    <col min="21" max="22" width="9.1640625" customWidth="1"/>
    <col min="24" max="24" width="16.5" customWidth="1"/>
    <col min="25" max="25" width="15.83203125" bestFit="1" customWidth="1"/>
    <col min="26" max="27" width="15.83203125" customWidth="1"/>
    <col min="28" max="28" width="26.5" customWidth="1"/>
    <col min="29" max="29" width="23.1640625" customWidth="1"/>
    <col min="30" max="30" width="11.83203125" customWidth="1"/>
    <col min="31" max="31" width="19.5" customWidth="1"/>
    <col min="32" max="32" width="11.33203125" customWidth="1"/>
    <col min="35" max="35" width="14.6640625" bestFit="1" customWidth="1"/>
    <col min="37" max="42" width="9.1640625" style="39"/>
    <col min="43" max="44" width="15.5" style="39" bestFit="1" customWidth="1"/>
    <col min="45" max="45" width="9.1640625" style="39"/>
  </cols>
  <sheetData>
    <row r="1" spans="1:45" ht="39.5" customHeight="1">
      <c r="G1" s="33"/>
      <c r="H1" s="138"/>
      <c r="I1" s="138"/>
      <c r="J1" s="34"/>
      <c r="K1" s="34"/>
      <c r="L1" s="34"/>
      <c r="M1" s="34"/>
      <c r="N1" s="35"/>
      <c r="O1" s="95" t="s">
        <v>200</v>
      </c>
      <c r="P1" s="96" t="s">
        <v>201</v>
      </c>
      <c r="Q1" s="105">
        <v>23760000</v>
      </c>
      <c r="R1" s="37"/>
      <c r="S1" s="37"/>
      <c r="AB1" s="38"/>
      <c r="AF1" s="38"/>
    </row>
    <row r="2" spans="1:45" s="40" customFormat="1" ht="48">
      <c r="B2" s="40" t="s">
        <v>208</v>
      </c>
      <c r="C2" s="40" t="s">
        <v>209</v>
      </c>
      <c r="D2" s="40" t="s">
        <v>210</v>
      </c>
      <c r="E2" s="40" t="s">
        <v>211</v>
      </c>
      <c r="G2" s="40" t="s">
        <v>212</v>
      </c>
      <c r="H2" s="41" t="s">
        <v>213</v>
      </c>
      <c r="I2" s="41" t="s">
        <v>214</v>
      </c>
      <c r="J2" s="41" t="str">
        <f>'Search Volume'!C2</f>
        <v>SV - Flights to Abu Dhabi</v>
      </c>
      <c r="K2" s="41" t="s">
        <v>238</v>
      </c>
      <c r="L2" s="41" t="str">
        <f>GDP!D1</f>
        <v>GDP - Growth</v>
      </c>
      <c r="M2" s="41" t="str">
        <f>DPI!B1</f>
        <v>Disposable Personal Income (USD)</v>
      </c>
      <c r="N2" s="41" t="str">
        <f>'Cost of Media'!B1</f>
        <v>Media Cost</v>
      </c>
      <c r="O2" s="41" t="s">
        <v>217</v>
      </c>
      <c r="P2" s="41"/>
      <c r="Q2" s="101" t="s">
        <v>218</v>
      </c>
      <c r="R2" s="41"/>
      <c r="T2" s="41"/>
      <c r="X2" s="41"/>
      <c r="Y2" s="41"/>
      <c r="Z2" s="41"/>
      <c r="AA2" s="41"/>
      <c r="AB2" s="42"/>
      <c r="AC2" s="41"/>
      <c r="AD2" s="41"/>
      <c r="AE2" s="41"/>
      <c r="AK2" s="43"/>
      <c r="AL2" s="43"/>
      <c r="AM2" s="44"/>
      <c r="AN2" s="44"/>
      <c r="AO2" s="44"/>
      <c r="AP2" s="44"/>
      <c r="AQ2" s="44"/>
      <c r="AR2" s="44"/>
      <c r="AS2" s="44"/>
    </row>
    <row r="3" spans="1:45">
      <c r="B3">
        <v>334910000</v>
      </c>
      <c r="C3">
        <v>80730000</v>
      </c>
      <c r="D3">
        <v>1205000</v>
      </c>
      <c r="E3">
        <v>1692000000</v>
      </c>
      <c r="G3" t="s">
        <v>175</v>
      </c>
      <c r="H3" s="1">
        <f>E3/D3</f>
        <v>1404.1493775933609</v>
      </c>
      <c r="I3" s="2">
        <f>C3/B3</f>
        <v>0.24104983428383744</v>
      </c>
      <c r="J3" s="1" t="e">
        <f>VLOOKUP(G3,'Search Volume'!$A$2:$C$14,3,FALSE)</f>
        <v>#N/A</v>
      </c>
      <c r="K3" s="53">
        <v>0.18471165844207146</v>
      </c>
      <c r="L3" s="4" t="e">
        <f>VLOOKUP(G3,GDP!$A$2:$D$13,4,FALSE)</f>
        <v>#N/A</v>
      </c>
      <c r="M3" s="85" t="e">
        <f>VLOOKUP(G3,DPI!$A$1:$B$13,2,FALSE)</f>
        <v>#N/A</v>
      </c>
      <c r="N3" s="2" t="e">
        <f>VLOOKUP(G3,'Cost of Media'!$A$1:$B$13,2,FALSE)</f>
        <v>#N/A</v>
      </c>
      <c r="O3" s="2">
        <v>7.7159307025722645</v>
      </c>
      <c r="P3" s="4">
        <f>O3/SUM($O$3:$O$14)</f>
        <v>0.11660705087196761</v>
      </c>
      <c r="Q3" s="102">
        <f>P3*$Q$1</f>
        <v>2770583.5287179505</v>
      </c>
      <c r="R3" s="45"/>
      <c r="S3" s="45"/>
      <c r="T3" s="46"/>
      <c r="X3" s="47"/>
      <c r="Y3" s="48"/>
      <c r="Z3" s="48"/>
      <c r="AA3" s="48"/>
      <c r="AB3" s="49"/>
      <c r="AC3" s="48"/>
      <c r="AD3" s="48"/>
      <c r="AE3" s="48"/>
      <c r="AF3" s="50"/>
      <c r="AG3" s="48"/>
      <c r="AH3" s="51"/>
      <c r="AI3" s="48"/>
      <c r="AQ3" s="52"/>
      <c r="AR3" s="52"/>
    </row>
    <row r="4" spans="1:45" s="70" customFormat="1">
      <c r="A4"/>
      <c r="B4" s="70">
        <v>68350000</v>
      </c>
      <c r="C4">
        <v>71000000</v>
      </c>
      <c r="D4" s="70">
        <v>3913000</v>
      </c>
      <c r="E4" s="70">
        <v>1757000000</v>
      </c>
      <c r="G4" s="70" t="s">
        <v>180</v>
      </c>
      <c r="H4" s="1">
        <f t="shared" ref="H4:H14" si="0">E4/D4</f>
        <v>449.01610017889089</v>
      </c>
      <c r="I4" s="2">
        <f t="shared" ref="I4:I14" si="1">C4/B4</f>
        <v>1.0387710314557426</v>
      </c>
      <c r="J4" s="71" t="e">
        <f>VLOOKUP(G4,'Search Volume'!$A$2:$C$14,3,FALSE)</f>
        <v>#N/A</v>
      </c>
      <c r="K4" s="53">
        <v>0.74679742414456896</v>
      </c>
      <c r="L4" s="73" t="e">
        <f>VLOOKUP(G4,GDP!$A$2:$D$13,4,FALSE)</f>
        <v>#N/A</v>
      </c>
      <c r="M4" s="86" t="e">
        <f>VLOOKUP(G4,DPI!$A$1:$B$13,2,FALSE)</f>
        <v>#N/A</v>
      </c>
      <c r="N4" s="72" t="e">
        <f>VLOOKUP(G4,'Cost of Media'!$A$1:$B$13,2,FALSE)</f>
        <v>#N/A</v>
      </c>
      <c r="O4" s="72">
        <v>8.3223865893625426</v>
      </c>
      <c r="P4" s="73">
        <f t="shared" ref="P4:P14" si="2">O4/SUM($O$3:$O$14)</f>
        <v>0.12577211924395068</v>
      </c>
      <c r="Q4" s="103">
        <f t="shared" ref="Q4:Q14" si="3">P4*$Q$1</f>
        <v>2988345.553236268</v>
      </c>
      <c r="R4" s="74"/>
      <c r="S4" s="74"/>
      <c r="X4" s="75"/>
      <c r="Y4" s="76"/>
      <c r="Z4" s="76"/>
      <c r="AA4" s="76"/>
      <c r="AB4" s="77"/>
      <c r="AC4" s="76"/>
      <c r="AD4" s="76"/>
      <c r="AE4" s="76"/>
      <c r="AF4" s="78"/>
      <c r="AG4" s="76"/>
      <c r="AH4" s="79"/>
      <c r="AI4" s="76"/>
      <c r="AK4" s="80"/>
      <c r="AL4" s="80"/>
      <c r="AM4" s="80"/>
      <c r="AN4" s="80"/>
      <c r="AO4" s="80"/>
      <c r="AP4" s="80"/>
      <c r="AQ4" s="81"/>
      <c r="AR4" s="81"/>
      <c r="AS4" s="80"/>
    </row>
    <row r="5" spans="1:45">
      <c r="B5">
        <v>84480000</v>
      </c>
      <c r="C5">
        <v>86623000</v>
      </c>
      <c r="D5">
        <v>463000</v>
      </c>
      <c r="E5">
        <v>430000000</v>
      </c>
      <c r="G5" t="s">
        <v>187</v>
      </c>
      <c r="H5" s="1">
        <f t="shared" si="0"/>
        <v>928.72570194384446</v>
      </c>
      <c r="I5" s="2">
        <f t="shared" si="1"/>
        <v>1.0253669507575758</v>
      </c>
      <c r="J5" s="1">
        <f>VLOOKUP(G5,'Search Volume'!$A$2:$C$14,3,FALSE)</f>
        <v>5530</v>
      </c>
      <c r="K5" s="53">
        <v>5.5680613991635364E-3</v>
      </c>
      <c r="L5" s="4">
        <f>VLOOKUP(G5,GDP!$A$2:$D$13,4,FALSE)</f>
        <v>1.8462859596393377E-2</v>
      </c>
      <c r="M5" s="85">
        <f>VLOOKUP(G5,DPI!$A$1:$B$13,2,FALSE)</f>
        <v>42417</v>
      </c>
      <c r="N5" s="2" t="e">
        <f>VLOOKUP(G5,'Cost of Media'!$A$1:$B$13,2,FALSE)</f>
        <v>#N/A</v>
      </c>
      <c r="O5" s="2">
        <v>5.115163886323483</v>
      </c>
      <c r="P5" s="4">
        <f t="shared" si="2"/>
        <v>7.730294613871147E-2</v>
      </c>
      <c r="Q5" s="102">
        <f t="shared" si="3"/>
        <v>1836718.0002557845</v>
      </c>
      <c r="R5" s="45"/>
      <c r="S5" s="45"/>
      <c r="X5" s="47"/>
      <c r="Y5" s="48"/>
      <c r="Z5" s="48"/>
      <c r="AA5" s="48"/>
      <c r="AB5" s="49"/>
      <c r="AC5" s="48"/>
      <c r="AD5" s="48"/>
      <c r="AE5" s="48"/>
      <c r="AF5" s="50"/>
      <c r="AG5" s="48"/>
      <c r="AH5" s="51"/>
      <c r="AI5" s="48"/>
      <c r="AQ5" s="52"/>
      <c r="AR5" s="52"/>
    </row>
    <row r="6" spans="1:45">
      <c r="B6">
        <v>68170000</v>
      </c>
      <c r="C6">
        <v>28085000</v>
      </c>
      <c r="D6">
        <v>395000</v>
      </c>
      <c r="E6">
        <v>362000000</v>
      </c>
      <c r="G6" t="s">
        <v>167</v>
      </c>
      <c r="H6" s="1">
        <f t="shared" si="0"/>
        <v>916.45569620253161</v>
      </c>
      <c r="I6" s="2">
        <f t="shared" si="1"/>
        <v>0.41198474402229718</v>
      </c>
      <c r="J6" s="1">
        <f>VLOOKUP(G6,'Search Volume'!$A$2:$C$14,3,FALSE)</f>
        <v>4240</v>
      </c>
      <c r="K6" s="53">
        <v>3.0850069914284462E-3</v>
      </c>
      <c r="L6" s="4">
        <f>VLOOKUP(G6,GDP!$A$2:$D$13,4,FALSE)</f>
        <v>1.5496521189120704E-2</v>
      </c>
      <c r="M6" s="85">
        <f>VLOOKUP(G6,DPI!$A$1:$B$13,2,FALSE)</f>
        <v>35001</v>
      </c>
      <c r="N6" s="2">
        <f>VLOOKUP(G6,'Cost of Media'!$A$1:$B$13,2,FALSE)</f>
        <v>4.2772723585232444E-2</v>
      </c>
      <c r="O6" s="2">
        <v>4.1742450849978159</v>
      </c>
      <c r="P6" s="4">
        <f t="shared" si="2"/>
        <v>6.3083304884546734E-2</v>
      </c>
      <c r="Q6" s="102">
        <f t="shared" si="3"/>
        <v>1498859.3240568305</v>
      </c>
      <c r="R6" s="45"/>
      <c r="S6" s="45"/>
      <c r="T6" s="46"/>
      <c r="X6" s="47"/>
      <c r="Y6" s="48"/>
      <c r="Z6" s="48"/>
      <c r="AA6" s="48"/>
      <c r="AB6" s="49"/>
      <c r="AC6" s="48"/>
      <c r="AD6" s="48"/>
      <c r="AE6" s="48"/>
      <c r="AF6" s="50"/>
      <c r="AG6" s="48"/>
      <c r="AH6" s="51"/>
      <c r="AI6" s="48"/>
      <c r="AQ6" s="52"/>
      <c r="AR6" s="52"/>
    </row>
    <row r="7" spans="1:45">
      <c r="B7">
        <v>48370000</v>
      </c>
      <c r="C7">
        <v>15755000</v>
      </c>
      <c r="D7">
        <v>286000</v>
      </c>
      <c r="E7">
        <v>264000000</v>
      </c>
      <c r="G7" t="s">
        <v>168</v>
      </c>
      <c r="H7" s="1">
        <f t="shared" si="0"/>
        <v>923.07692307692309</v>
      </c>
      <c r="I7" s="2">
        <f t="shared" si="1"/>
        <v>0.32571842050857969</v>
      </c>
      <c r="J7" s="1" t="e">
        <f>VLOOKUP(G7,'Search Volume'!$A$2:$C$14,3,FALSE)</f>
        <v>#N/A</v>
      </c>
      <c r="K7" s="53">
        <v>5.6746571691925684E-3</v>
      </c>
      <c r="L7" s="4">
        <f>VLOOKUP(G7,GDP!$A$2:$D$13,4,FALSE)</f>
        <v>4.471544715447151E-2</v>
      </c>
      <c r="M7" s="85">
        <f>VLOOKUP(G7,DPI!$A$1:$B$13,2,FALSE)</f>
        <v>31193</v>
      </c>
      <c r="N7" s="2" t="e">
        <f>VLOOKUP(G7,'Cost of Media'!$A$1:$B$13,2,FALSE)</f>
        <v>#N/A</v>
      </c>
      <c r="O7" s="2">
        <v>5.0777710617866063</v>
      </c>
      <c r="P7" s="4">
        <f t="shared" si="2"/>
        <v>7.6737846844654234E-2</v>
      </c>
      <c r="Q7" s="102">
        <f t="shared" si="3"/>
        <v>1823291.2410289845</v>
      </c>
      <c r="R7" s="45"/>
      <c r="S7" s="45"/>
      <c r="X7" s="47"/>
      <c r="Y7" s="48"/>
      <c r="Z7" s="48"/>
      <c r="AA7" s="48"/>
      <c r="AB7" s="49"/>
      <c r="AC7" s="48"/>
      <c r="AD7" s="48"/>
      <c r="AE7" s="48"/>
      <c r="AF7" s="50"/>
      <c r="AG7" s="48"/>
      <c r="AH7" s="51"/>
      <c r="AI7" s="48"/>
      <c r="AQ7" s="52"/>
      <c r="AR7" s="52"/>
    </row>
    <row r="8" spans="1:45">
      <c r="B8">
        <v>58760000</v>
      </c>
      <c r="C8">
        <v>24970000</v>
      </c>
      <c r="D8">
        <v>229000</v>
      </c>
      <c r="E8">
        <v>192000000</v>
      </c>
      <c r="G8" t="s">
        <v>165</v>
      </c>
      <c r="H8" s="1">
        <f t="shared" si="0"/>
        <v>838.42794759825324</v>
      </c>
      <c r="I8" s="2">
        <f t="shared" si="1"/>
        <v>0.42494894486044926</v>
      </c>
      <c r="J8" s="1">
        <f>VLOOKUP(G8,'Search Volume'!$A$2:$C$14,3,FALSE)</f>
        <v>3370</v>
      </c>
      <c r="K8" s="53">
        <v>2.708786626620099E-3</v>
      </c>
      <c r="L8" s="4">
        <f>VLOOKUP(G8,GDP!$A$2:$D$13,4,FALSE)</f>
        <v>2.1079258010118007E-2</v>
      </c>
      <c r="M8" s="85">
        <f>VLOOKUP(G8,DPI!$A$1:$B$13,2,FALSE)</f>
        <v>34703</v>
      </c>
      <c r="N8" s="2">
        <f>VLOOKUP(G8,'Cost of Media'!$A$1:$B$13,2,FALSE)</f>
        <v>0.15021631649043876</v>
      </c>
      <c r="O8" s="2">
        <v>4.3941049845286724</v>
      </c>
      <c r="P8" s="4">
        <f t="shared" si="2"/>
        <v>6.6405938987617888E-2</v>
      </c>
      <c r="Q8" s="102">
        <f t="shared" si="3"/>
        <v>1577805.1103458011</v>
      </c>
      <c r="R8" s="45"/>
      <c r="S8" s="45"/>
      <c r="X8" s="47"/>
      <c r="Y8" s="48"/>
      <c r="Z8" s="48"/>
      <c r="AA8" s="48"/>
      <c r="AB8" s="49"/>
      <c r="AC8" s="48"/>
      <c r="AD8" s="48"/>
      <c r="AE8" s="48"/>
      <c r="AF8" s="50"/>
      <c r="AG8" s="48"/>
      <c r="AH8" s="51"/>
      <c r="AI8" s="48"/>
      <c r="AQ8" s="52"/>
      <c r="AR8" s="52"/>
    </row>
    <row r="9" spans="1:45">
      <c r="B9">
        <v>40100000</v>
      </c>
      <c r="C9">
        <v>21400000</v>
      </c>
      <c r="D9">
        <v>180000</v>
      </c>
      <c r="E9">
        <v>255000000</v>
      </c>
      <c r="G9" t="s">
        <v>177</v>
      </c>
      <c r="H9" s="1">
        <f t="shared" si="0"/>
        <v>1416.6666666666667</v>
      </c>
      <c r="I9" s="2">
        <f t="shared" si="1"/>
        <v>0.53366583541147128</v>
      </c>
      <c r="J9" s="1" t="e">
        <f>VLOOKUP(G9,'Search Volume'!$A$2:$C$14,3,FALSE)</f>
        <v>#N/A</v>
      </c>
      <c r="K9" s="53">
        <v>2.4730218646735348E-2</v>
      </c>
      <c r="L9" s="4">
        <f>VLOOKUP(G9,GDP!$A$2:$D$13,4,FALSE)</f>
        <v>-7.1396697902722517E-3</v>
      </c>
      <c r="M9" s="85">
        <f>VLOOKUP(G9,DPI!$A$1:$B$13,2,FALSE)</f>
        <v>35561</v>
      </c>
      <c r="N9" s="2" t="e">
        <f>VLOOKUP(G9,'Cost of Media'!$A$1:$B$13,2,FALSE)</f>
        <v>#N/A</v>
      </c>
      <c r="O9" s="2">
        <v>5.2559761073844342</v>
      </c>
      <c r="P9" s="4">
        <f t="shared" si="2"/>
        <v>7.9430971707833711E-2</v>
      </c>
      <c r="Q9" s="102">
        <f t="shared" si="3"/>
        <v>1887279.887778129</v>
      </c>
      <c r="R9" s="45"/>
      <c r="S9" s="45"/>
      <c r="X9" s="47"/>
      <c r="Y9" s="48"/>
      <c r="Z9" s="48"/>
      <c r="AA9" s="48"/>
      <c r="AB9" s="49"/>
      <c r="AC9" s="48"/>
      <c r="AD9" s="48"/>
      <c r="AE9" s="48"/>
      <c r="AF9" s="50"/>
      <c r="AG9" s="48"/>
      <c r="AH9" s="51"/>
      <c r="AI9" s="48"/>
      <c r="AQ9" s="52"/>
      <c r="AR9" s="52"/>
    </row>
    <row r="10" spans="1:45">
      <c r="B10">
        <v>31860000</v>
      </c>
      <c r="C10">
        <v>10629000</v>
      </c>
      <c r="D10">
        <v>164000</v>
      </c>
      <c r="E10">
        <v>239000000</v>
      </c>
      <c r="G10" t="s">
        <v>222</v>
      </c>
      <c r="H10" s="1">
        <f t="shared" si="0"/>
        <v>1457.3170731707316</v>
      </c>
      <c r="I10" s="2">
        <f t="shared" si="1"/>
        <v>0.33361581920903954</v>
      </c>
      <c r="J10" s="1" t="e">
        <f>VLOOKUP(G10,'Search Volume'!$A$2:$C$14,3,FALSE)</f>
        <v>#N/A</v>
      </c>
      <c r="K10" s="53">
        <v>1.5092706968228189E-2</v>
      </c>
      <c r="L10" s="4" t="e">
        <f>VLOOKUP(G10,GDP!$A$2:$D$13,4,FALSE)</f>
        <v>#N/A</v>
      </c>
      <c r="M10" s="85" t="e">
        <f>VLOOKUP(G10,DPI!$A$1:$B$13,2,FALSE)</f>
        <v>#N/A</v>
      </c>
      <c r="N10" s="2" t="e">
        <f>VLOOKUP(G10,'Cost of Media'!$A$1:$B$13,2,FALSE)</f>
        <v>#N/A</v>
      </c>
      <c r="O10" s="2">
        <v>5.6258992113518325</v>
      </c>
      <c r="P10" s="4">
        <f t="shared" si="2"/>
        <v>8.5021436923995178E-2</v>
      </c>
      <c r="Q10" s="102">
        <f t="shared" si="3"/>
        <v>2020109.3413141253</v>
      </c>
      <c r="R10" s="45"/>
      <c r="S10" s="45"/>
      <c r="X10" s="47"/>
      <c r="Y10" s="48"/>
      <c r="Z10" s="48"/>
      <c r="AA10" s="48"/>
      <c r="AB10" s="49"/>
      <c r="AC10" s="48"/>
      <c r="AD10" s="48"/>
      <c r="AE10" s="48"/>
      <c r="AF10" s="50"/>
      <c r="AG10" s="48"/>
      <c r="AH10" s="51"/>
      <c r="AI10" s="48"/>
      <c r="AQ10" s="52"/>
      <c r="AR10" s="52"/>
    </row>
    <row r="11" spans="1:45">
      <c r="B11">
        <v>30370000</v>
      </c>
      <c r="C11">
        <v>41970000</v>
      </c>
      <c r="D11">
        <v>264000</v>
      </c>
      <c r="E11">
        <v>192000000</v>
      </c>
      <c r="G11" t="s">
        <v>223</v>
      </c>
      <c r="H11" s="1">
        <f t="shared" si="0"/>
        <v>727.27272727272725</v>
      </c>
      <c r="I11" s="2">
        <f t="shared" si="1"/>
        <v>1.3819558775107013</v>
      </c>
      <c r="J11" s="1" t="e">
        <f>VLOOKUP(G11,'Search Volume'!$A$2:$C$14,3,FALSE)</f>
        <v>#N/A</v>
      </c>
      <c r="K11" s="53">
        <v>6.1825546616838369E-3</v>
      </c>
      <c r="L11" s="4" t="e">
        <f>VLOOKUP(G11,GDP!$A$2:$D$13,4,FALSE)</f>
        <v>#N/A</v>
      </c>
      <c r="M11" s="85" t="e">
        <f>VLOOKUP(G11,DPI!$A$1:$B$13,2,FALSE)</f>
        <v>#N/A</v>
      </c>
      <c r="N11" s="2" t="e">
        <f>VLOOKUP(G11,'Cost of Media'!$A$1:$B$13,2,FALSE)</f>
        <v>#N/A</v>
      </c>
      <c r="O11" s="2">
        <v>5.4917121992698199</v>
      </c>
      <c r="P11" s="4">
        <f t="shared" si="2"/>
        <v>8.2993534866892954E-2</v>
      </c>
      <c r="Q11" s="102">
        <f t="shared" si="3"/>
        <v>1971926.3884373766</v>
      </c>
      <c r="R11" s="45"/>
      <c r="S11" s="45"/>
      <c r="X11" s="47"/>
      <c r="Y11" s="48"/>
      <c r="Z11" s="48"/>
      <c r="AA11" s="48"/>
      <c r="AB11" s="49"/>
      <c r="AC11" s="48"/>
      <c r="AD11" s="48"/>
      <c r="AE11" s="48"/>
      <c r="AF11" s="50"/>
      <c r="AG11" s="48"/>
      <c r="AH11" s="51"/>
      <c r="AI11" s="48"/>
      <c r="AQ11" s="52"/>
      <c r="AR11" s="52"/>
    </row>
    <row r="12" spans="1:45">
      <c r="B12">
        <v>27980000</v>
      </c>
      <c r="C12">
        <v>25249000</v>
      </c>
      <c r="D12">
        <v>154000</v>
      </c>
      <c r="E12">
        <v>107000000</v>
      </c>
      <c r="G12" t="s">
        <v>224</v>
      </c>
      <c r="H12" s="1">
        <f t="shared" si="0"/>
        <v>694.80519480519479</v>
      </c>
      <c r="I12" s="2">
        <f t="shared" si="1"/>
        <v>0.90239456754824876</v>
      </c>
      <c r="J12" s="1" t="e">
        <f>VLOOKUP(G12,'Search Volume'!$A$2:$C$14,3,FALSE)</f>
        <v>#N/A</v>
      </c>
      <c r="K12" s="53">
        <v>3.4361459985829033E-3</v>
      </c>
      <c r="L12" s="4" t="e">
        <f>VLOOKUP(G12,GDP!$A$2:$D$13,4,FALSE)</f>
        <v>#N/A</v>
      </c>
      <c r="M12" s="85" t="e">
        <f>VLOOKUP(G12,DPI!$A$1:$B$13,2,FALSE)</f>
        <v>#N/A</v>
      </c>
      <c r="N12" s="2" t="e">
        <f>VLOOKUP(G12,'Cost of Media'!$A$1:$B$13,2,FALSE)</f>
        <v>#N/A</v>
      </c>
      <c r="O12" s="2">
        <v>4.0389400170554879</v>
      </c>
      <c r="P12" s="4">
        <f t="shared" si="2"/>
        <v>6.1038506201281442E-2</v>
      </c>
      <c r="Q12" s="102">
        <f t="shared" si="3"/>
        <v>1450274.907342447</v>
      </c>
      <c r="R12" s="45"/>
      <c r="S12" s="45"/>
      <c r="X12" s="47"/>
      <c r="Y12" s="48"/>
      <c r="Z12" s="48"/>
      <c r="AA12" s="48"/>
      <c r="AB12" s="49"/>
      <c r="AC12" s="48"/>
      <c r="AD12" s="48"/>
      <c r="AE12" s="48"/>
      <c r="AF12" s="50"/>
      <c r="AG12" s="48"/>
      <c r="AH12" s="51"/>
      <c r="AI12" s="48"/>
      <c r="AQ12" s="52"/>
      <c r="AR12" s="52"/>
    </row>
    <row r="13" spans="1:45">
      <c r="B13">
        <v>8850000</v>
      </c>
      <c r="C13">
        <v>11275100</v>
      </c>
      <c r="D13">
        <v>82000</v>
      </c>
      <c r="E13">
        <v>71000000</v>
      </c>
      <c r="G13" t="s">
        <v>194</v>
      </c>
      <c r="H13" s="1">
        <f t="shared" si="0"/>
        <v>865.85365853658539</v>
      </c>
      <c r="I13" s="2">
        <f t="shared" si="1"/>
        <v>1.2740225988700564</v>
      </c>
      <c r="J13" s="1" t="e">
        <f>VLOOKUP(G13,'Search Volume'!$A$2:$C$14,3,FALSE)</f>
        <v>#N/A</v>
      </c>
      <c r="K13" s="53">
        <v>1.3230416162426871E-3</v>
      </c>
      <c r="L13" s="4" t="e">
        <f>VLOOKUP(G13,GDP!$A$2:$D$13,4,FALSE)</f>
        <v>#N/A</v>
      </c>
      <c r="M13" s="85" t="e">
        <f>VLOOKUP(G13,DPI!$A$1:$B$13,2,FALSE)</f>
        <v>#N/A</v>
      </c>
      <c r="N13" s="2" t="e">
        <f>VLOOKUP(G13,'Cost of Media'!$A$1:$B$13,2,FALSE)</f>
        <v>#N/A</v>
      </c>
      <c r="O13" s="2">
        <v>5.6530849964107146</v>
      </c>
      <c r="P13" s="4">
        <f t="shared" si="2"/>
        <v>8.5432282270273191E-2</v>
      </c>
      <c r="Q13" s="102">
        <f t="shared" si="3"/>
        <v>2029871.0267416909</v>
      </c>
      <c r="R13" s="45"/>
      <c r="S13" s="45"/>
      <c r="X13" s="47"/>
      <c r="Y13" s="48"/>
      <c r="Z13" s="48"/>
      <c r="AA13" s="48"/>
      <c r="AB13" s="49"/>
      <c r="AC13" s="48"/>
      <c r="AD13" s="48"/>
      <c r="AE13" s="48"/>
      <c r="AF13" s="50"/>
      <c r="AG13" s="48"/>
      <c r="AH13" s="51"/>
      <c r="AI13" s="48"/>
      <c r="AQ13" s="52"/>
      <c r="AR13" s="52"/>
    </row>
    <row r="14" spans="1:45">
      <c r="B14">
        <v>9130000</v>
      </c>
      <c r="C14">
        <v>11871000</v>
      </c>
      <c r="D14">
        <v>37000</v>
      </c>
      <c r="E14">
        <v>39000000</v>
      </c>
      <c r="G14" t="s">
        <v>172</v>
      </c>
      <c r="H14" s="1">
        <f t="shared" si="0"/>
        <v>1054.0540540540539</v>
      </c>
      <c r="I14" s="2">
        <f t="shared" si="1"/>
        <v>1.3002190580503834</v>
      </c>
      <c r="J14" s="1" t="e">
        <f>VLOOKUP(G14,'Search Volume'!$A$2:$C$14,3,FALSE)</f>
        <v>#N/A</v>
      </c>
      <c r="K14" s="53">
        <v>6.8973733548196962E-4</v>
      </c>
      <c r="L14" s="4" t="e">
        <f>VLOOKUP(G14,GDP!$A$2:$D$13,4,FALSE)</f>
        <v>#N/A</v>
      </c>
      <c r="M14" s="85" t="e">
        <f>VLOOKUP(G14,DPI!$A$1:$B$13,2,FALSE)</f>
        <v>#N/A</v>
      </c>
      <c r="N14" s="2" t="e">
        <f>VLOOKUP(G14,'Cost of Media'!$A$1:$B$13,2,FALSE)</f>
        <v>#N/A</v>
      </c>
      <c r="O14" s="2">
        <v>5.3051465982848462</v>
      </c>
      <c r="P14" s="4">
        <f t="shared" si="2"/>
        <v>8.0174061058274945E-2</v>
      </c>
      <c r="Q14" s="102">
        <f t="shared" si="3"/>
        <v>1904935.6907446126</v>
      </c>
      <c r="R14" s="45"/>
      <c r="S14" s="45"/>
      <c r="X14" s="47"/>
      <c r="Y14" s="48"/>
      <c r="Z14" s="48"/>
      <c r="AA14" s="48"/>
      <c r="AB14" s="49"/>
      <c r="AC14" s="48"/>
      <c r="AD14" s="48"/>
      <c r="AE14" s="48"/>
      <c r="AF14" s="50"/>
      <c r="AG14" s="48"/>
      <c r="AH14" s="51"/>
      <c r="AI14" s="48"/>
      <c r="AQ14" s="52"/>
      <c r="AR14" s="52"/>
    </row>
    <row r="15" spans="1:45">
      <c r="J15" s="1"/>
      <c r="K15" s="1"/>
      <c r="AB15" s="49"/>
      <c r="AD15" s="48"/>
      <c r="AF15" s="50"/>
    </row>
    <row r="16" spans="1:45">
      <c r="G16" t="s">
        <v>225</v>
      </c>
      <c r="H16" s="1">
        <f>AVERAGE(H3:H14)</f>
        <v>972.98509342498028</v>
      </c>
      <c r="I16" s="1">
        <f t="shared" ref="I16:J16" si="4">AVERAGE(I3:I14)</f>
        <v>0.7661428068740318</v>
      </c>
      <c r="J16" s="1" t="e">
        <f t="shared" si="4"/>
        <v>#N/A</v>
      </c>
      <c r="K16" s="53">
        <f>AVERAGE(K3:K14)</f>
        <v>8.3333333333333329E-2</v>
      </c>
      <c r="L16" s="53" t="e">
        <f>AVERAGE(L3:L14)</f>
        <v>#N/A</v>
      </c>
      <c r="M16" s="1" t="e">
        <f>AVERAGE(M3:M14)</f>
        <v>#N/A</v>
      </c>
      <c r="N16" s="2" t="e">
        <f>AVERAGE(N3:N14)</f>
        <v>#N/A</v>
      </c>
      <c r="O16" s="2">
        <f t="shared" ref="O16" si="5">AVERAGE(O3:O11)</f>
        <v>5.6859099808419407</v>
      </c>
      <c r="T16" s="1">
        <v>29410000</v>
      </c>
      <c r="X16" s="48"/>
      <c r="Y16" s="48"/>
      <c r="Z16" s="48"/>
      <c r="AA16" s="48"/>
      <c r="AB16" s="49"/>
      <c r="AC16" s="48"/>
      <c r="AD16" s="48"/>
      <c r="AE16" s="48"/>
      <c r="AF16" s="50"/>
      <c r="AR16" s="54"/>
    </row>
    <row r="17" spans="7:44">
      <c r="G17" t="s">
        <v>226</v>
      </c>
      <c r="H17" s="1">
        <f>STDEV(H3:H14)</f>
        <v>312.38609733709762</v>
      </c>
      <c r="I17" s="1">
        <f>STDEV(I3:I14)</f>
        <v>0.43013269657583764</v>
      </c>
      <c r="J17" s="1" t="e">
        <f>STDEV(J3:J14)</f>
        <v>#N/A</v>
      </c>
      <c r="K17" s="53">
        <f t="shared" ref="K17" si="6">STDEV(K3:K14)</f>
        <v>0.21520880911993606</v>
      </c>
      <c r="L17" s="53" t="e">
        <f t="shared" ref="L17:M17" si="7">STDEV(L3:L14)</f>
        <v>#N/A</v>
      </c>
      <c r="M17" s="1" t="e">
        <f t="shared" si="7"/>
        <v>#N/A</v>
      </c>
      <c r="N17" s="1" t="e">
        <f>STDEV(N3:N14)</f>
        <v>#N/A</v>
      </c>
      <c r="O17" s="2"/>
      <c r="T17" s="1">
        <v>2300000</v>
      </c>
      <c r="AR17" s="55"/>
    </row>
    <row r="18" spans="7:44">
      <c r="G18" s="3" t="s">
        <v>227</v>
      </c>
      <c r="H18" s="63">
        <v>2</v>
      </c>
      <c r="I18" s="63">
        <v>1.2</v>
      </c>
      <c r="J18" s="63">
        <v>1.5</v>
      </c>
      <c r="K18" s="63">
        <v>1.2</v>
      </c>
      <c r="L18" s="56">
        <v>1</v>
      </c>
      <c r="M18" s="56">
        <v>1.25</v>
      </c>
      <c r="N18" s="56">
        <v>1</v>
      </c>
      <c r="O18" s="2"/>
      <c r="T18" s="1">
        <v>3350000</v>
      </c>
    </row>
    <row r="19" spans="7:44">
      <c r="G19" s="57"/>
      <c r="H19" s="56"/>
      <c r="I19" s="56"/>
      <c r="J19" s="56"/>
      <c r="K19" s="56"/>
      <c r="L19" s="56"/>
      <c r="M19" s="56"/>
      <c r="N19" s="56"/>
      <c r="O19" s="2"/>
      <c r="T19" s="62">
        <f>T16-T17-T18</f>
        <v>23760000</v>
      </c>
    </row>
    <row r="20" spans="7:44">
      <c r="G20" s="58"/>
      <c r="H20" s="2"/>
      <c r="I20" s="2"/>
      <c r="J20" s="2"/>
      <c r="K20" s="2"/>
      <c r="L20" s="2"/>
      <c r="M20" s="2"/>
      <c r="N20" s="2"/>
      <c r="O20" s="2"/>
      <c r="AC20" s="48"/>
      <c r="AD20" s="48"/>
      <c r="AE20" s="59"/>
    </row>
    <row r="21" spans="7:44">
      <c r="H21" s="2"/>
      <c r="I21" s="2"/>
      <c r="J21" s="2"/>
      <c r="K21" s="2"/>
      <c r="L21" s="2"/>
      <c r="M21" s="2"/>
      <c r="N21" s="2"/>
      <c r="O21" s="2"/>
      <c r="AC21" s="48"/>
      <c r="AD21" s="48"/>
      <c r="AE21" s="60"/>
    </row>
    <row r="22" spans="7:44">
      <c r="H22" s="139"/>
      <c r="I22" s="139"/>
      <c r="J22" s="139"/>
      <c r="K22" s="139"/>
      <c r="L22" s="139"/>
      <c r="M22" s="139"/>
      <c r="N22" s="140"/>
      <c r="O22" s="61"/>
      <c r="S22" s="1"/>
      <c r="T22" s="1"/>
    </row>
    <row r="23" spans="7:44" ht="66.5" customHeight="1">
      <c r="G23" s="93" t="s">
        <v>212</v>
      </c>
      <c r="H23" s="94" t="str">
        <f>H2</f>
        <v>Spends Per Trip</v>
      </c>
      <c r="I23" s="94" t="str">
        <f t="shared" ref="I23:N23" si="8">I2</f>
        <v>Tourist Departures / Population</v>
      </c>
      <c r="J23" s="94" t="str">
        <f t="shared" si="8"/>
        <v>SV - Flights to Abu Dhabi</v>
      </c>
      <c r="K23" s="94" t="s">
        <v>238</v>
      </c>
      <c r="L23" s="94" t="str">
        <f t="shared" si="8"/>
        <v>GDP - Growth</v>
      </c>
      <c r="M23" s="94" t="str">
        <f t="shared" si="8"/>
        <v>Disposable Personal Income (USD)</v>
      </c>
      <c r="N23" s="94" t="str">
        <f t="shared" si="8"/>
        <v>Media Cost</v>
      </c>
      <c r="O23" s="94" t="s">
        <v>228</v>
      </c>
      <c r="P23" s="41"/>
      <c r="Q23" s="41"/>
      <c r="R23" s="41"/>
    </row>
    <row r="24" spans="7:44">
      <c r="G24" t="str">
        <f t="shared" ref="G24:G35" si="9">G3</f>
        <v>United States</v>
      </c>
      <c r="H24" s="2">
        <f>_xlfn.NORM.DIST(H3,H$16,H$17,TRUE)</f>
        <v>0.9162418933746187</v>
      </c>
      <c r="I24" s="2">
        <f t="shared" ref="I24:N35" si="10">_xlfn.NORM.DIST(I3,I$16,I$17,TRUE)</f>
        <v>0.11108661033040505</v>
      </c>
      <c r="J24" s="2" t="e">
        <f t="shared" si="10"/>
        <v>#N/A</v>
      </c>
      <c r="K24" s="2">
        <f t="shared" ref="K24" si="11">_xlfn.NORM.DIST(K3,K$16,K$17,TRUE)</f>
        <v>0.68120447914778237</v>
      </c>
      <c r="L24" s="2" t="e">
        <f t="shared" si="10"/>
        <v>#N/A</v>
      </c>
      <c r="M24" s="2" t="e">
        <f t="shared" si="10"/>
        <v>#N/A</v>
      </c>
      <c r="N24" s="2" t="e">
        <f t="shared" si="10"/>
        <v>#N/A</v>
      </c>
      <c r="O24" s="2" t="e">
        <f t="shared" ref="O24:O35" si="12">SUMPRODUCT($H$18:$N$18,H24:N24)</f>
        <v>#N/A</v>
      </c>
      <c r="P24" s="53"/>
      <c r="Q24" s="53"/>
      <c r="R24" s="53"/>
    </row>
    <row r="25" spans="7:44">
      <c r="G25" t="str">
        <f t="shared" si="9"/>
        <v>United Kingdom</v>
      </c>
      <c r="H25" s="2">
        <f t="shared" ref="H25:J35" si="13">_xlfn.NORM.DIST(H4,H$16,H$17,TRUE)</f>
        <v>4.6740729988345608E-2</v>
      </c>
      <c r="I25" s="2">
        <f t="shared" si="13"/>
        <v>0.73690200267717199</v>
      </c>
      <c r="J25" s="2" t="e">
        <f t="shared" si="13"/>
        <v>#N/A</v>
      </c>
      <c r="K25" s="2">
        <f t="shared" ref="K25" si="14">_xlfn.NORM.DIST(K4,K$16,K$17,TRUE)</f>
        <v>0.99897497949981662</v>
      </c>
      <c r="L25" s="2" t="e">
        <f t="shared" si="10"/>
        <v>#N/A</v>
      </c>
      <c r="M25" s="2" t="e">
        <f t="shared" si="10"/>
        <v>#N/A</v>
      </c>
      <c r="N25" s="2" t="e">
        <f t="shared" si="10"/>
        <v>#N/A</v>
      </c>
      <c r="O25" s="2" t="e">
        <f t="shared" si="12"/>
        <v>#N/A</v>
      </c>
      <c r="P25" s="53"/>
      <c r="Q25" s="53"/>
      <c r="R25" s="53"/>
    </row>
    <row r="26" spans="7:44">
      <c r="G26" t="str">
        <f t="shared" si="9"/>
        <v>Germany</v>
      </c>
      <c r="H26" s="2">
        <f t="shared" si="13"/>
        <v>0.44366571752999007</v>
      </c>
      <c r="I26" s="2">
        <f t="shared" si="10"/>
        <v>0.72663284017147012</v>
      </c>
      <c r="J26" s="2" t="e">
        <f t="shared" si="10"/>
        <v>#N/A</v>
      </c>
      <c r="K26" s="2">
        <f t="shared" ref="K26" si="15">_xlfn.NORM.DIST(K5,K$16,K$17,TRUE)</f>
        <v>0.35891965914740642</v>
      </c>
      <c r="L26" s="2" t="e">
        <f t="shared" si="10"/>
        <v>#N/A</v>
      </c>
      <c r="M26" s="2" t="e">
        <f t="shared" si="10"/>
        <v>#N/A</v>
      </c>
      <c r="N26" s="2" t="e">
        <f t="shared" si="10"/>
        <v>#N/A</v>
      </c>
      <c r="O26" s="2" t="e">
        <f t="shared" si="12"/>
        <v>#N/A</v>
      </c>
      <c r="P26" s="53"/>
      <c r="Q26" s="53"/>
      <c r="R26" s="53"/>
    </row>
    <row r="27" spans="7:44">
      <c r="G27" t="str">
        <f t="shared" si="9"/>
        <v>France</v>
      </c>
      <c r="H27" s="2">
        <f t="shared" si="13"/>
        <v>0.42819947512164808</v>
      </c>
      <c r="I27" s="2">
        <f t="shared" si="10"/>
        <v>0.20514900416970266</v>
      </c>
      <c r="J27" s="2" t="e">
        <f t="shared" si="10"/>
        <v>#N/A</v>
      </c>
      <c r="K27" s="2">
        <f t="shared" ref="K27" si="16">_xlfn.NORM.DIST(K6,K$16,K$17,TRUE)</f>
        <v>0.35461669044811128</v>
      </c>
      <c r="L27" s="2" t="e">
        <f t="shared" si="10"/>
        <v>#N/A</v>
      </c>
      <c r="M27" s="2" t="e">
        <f t="shared" si="10"/>
        <v>#N/A</v>
      </c>
      <c r="N27" s="2" t="e">
        <f t="shared" si="10"/>
        <v>#N/A</v>
      </c>
      <c r="O27" s="2" t="e">
        <f t="shared" si="12"/>
        <v>#N/A</v>
      </c>
      <c r="P27" s="53"/>
      <c r="Q27" s="53"/>
      <c r="R27" s="53"/>
    </row>
    <row r="28" spans="7:44">
      <c r="G28" t="str">
        <f t="shared" si="9"/>
        <v>Spain</v>
      </c>
      <c r="H28" s="2">
        <f t="shared" si="13"/>
        <v>0.4365333431462744</v>
      </c>
      <c r="I28" s="2">
        <f t="shared" si="10"/>
        <v>0.15293493040581069</v>
      </c>
      <c r="J28" s="2" t="e">
        <f t="shared" si="10"/>
        <v>#N/A</v>
      </c>
      <c r="K28" s="2">
        <f t="shared" ref="K28" si="17">_xlfn.NORM.DIST(K7,K$16,K$17,TRUE)</f>
        <v>0.35910478855432798</v>
      </c>
      <c r="L28" s="2" t="e">
        <f t="shared" si="10"/>
        <v>#N/A</v>
      </c>
      <c r="M28" s="2" t="e">
        <f t="shared" si="10"/>
        <v>#N/A</v>
      </c>
      <c r="N28" s="2" t="e">
        <f t="shared" si="10"/>
        <v>#N/A</v>
      </c>
      <c r="O28" s="2" t="e">
        <f t="shared" si="12"/>
        <v>#N/A</v>
      </c>
      <c r="P28" s="53"/>
      <c r="Q28" s="53"/>
      <c r="R28" s="53"/>
    </row>
    <row r="29" spans="7:44">
      <c r="G29" t="str">
        <f t="shared" si="9"/>
        <v>Italy</v>
      </c>
      <c r="H29" s="2">
        <f t="shared" si="13"/>
        <v>0.33332876395568933</v>
      </c>
      <c r="I29" s="2">
        <f t="shared" si="10"/>
        <v>0.2138221169516743</v>
      </c>
      <c r="J29" s="2" t="e">
        <f t="shared" si="10"/>
        <v>#N/A</v>
      </c>
      <c r="K29" s="2">
        <f t="shared" ref="K29" si="18">_xlfn.NORM.DIST(K8,K$16,K$17,TRUE)</f>
        <v>0.3539663248472793</v>
      </c>
      <c r="L29" s="2" t="e">
        <f t="shared" si="10"/>
        <v>#N/A</v>
      </c>
      <c r="M29" s="2" t="e">
        <f t="shared" si="10"/>
        <v>#N/A</v>
      </c>
      <c r="N29" s="2" t="e">
        <f t="shared" si="10"/>
        <v>#N/A</v>
      </c>
      <c r="O29" s="2" t="e">
        <f t="shared" si="12"/>
        <v>#N/A</v>
      </c>
      <c r="P29" s="53"/>
      <c r="Q29" s="53"/>
      <c r="R29" s="53"/>
    </row>
    <row r="30" spans="7:44">
      <c r="G30" t="str">
        <f t="shared" si="9"/>
        <v>Canada</v>
      </c>
      <c r="H30" s="2">
        <f t="shared" si="13"/>
        <v>0.92223963272527687</v>
      </c>
      <c r="I30" s="2">
        <f t="shared" si="10"/>
        <v>0.29443394539861839</v>
      </c>
      <c r="J30" s="2" t="e">
        <f t="shared" si="10"/>
        <v>#N/A</v>
      </c>
      <c r="K30" s="2">
        <f t="shared" ref="K30" si="19">_xlfn.NORM.DIST(K9,K$16,K$17,TRUE)</f>
        <v>0.39269254147493743</v>
      </c>
      <c r="L30" s="2" t="e">
        <f t="shared" si="10"/>
        <v>#N/A</v>
      </c>
      <c r="M30" s="2" t="e">
        <f t="shared" si="10"/>
        <v>#N/A</v>
      </c>
      <c r="N30" s="2" t="e">
        <f t="shared" si="10"/>
        <v>#N/A</v>
      </c>
      <c r="O30" s="2" t="e">
        <f t="shared" si="12"/>
        <v>#N/A</v>
      </c>
      <c r="P30" s="53"/>
      <c r="Q30" s="53"/>
      <c r="R30" s="53"/>
    </row>
    <row r="31" spans="7:44">
      <c r="G31" t="str">
        <f t="shared" si="9"/>
        <v>AUS / NZ</v>
      </c>
      <c r="H31" s="2">
        <f t="shared" si="13"/>
        <v>0.93948052263730031</v>
      </c>
      <c r="I31" s="2">
        <f t="shared" si="10"/>
        <v>0.15731209652946976</v>
      </c>
      <c r="J31" s="2" t="e">
        <f t="shared" si="10"/>
        <v>#N/A</v>
      </c>
      <c r="K31" s="2">
        <f t="shared" ref="K31" si="20">_xlfn.NORM.DIST(K10,K$16,K$17,TRUE)</f>
        <v>0.37558754152753421</v>
      </c>
      <c r="L31" s="2" t="e">
        <f t="shared" si="10"/>
        <v>#N/A</v>
      </c>
      <c r="M31" s="2" t="e">
        <f t="shared" si="10"/>
        <v>#N/A</v>
      </c>
      <c r="N31" s="2" t="e">
        <f t="shared" si="10"/>
        <v>#N/A</v>
      </c>
      <c r="O31" s="2" t="e">
        <f t="shared" si="12"/>
        <v>#N/A</v>
      </c>
      <c r="P31" s="53"/>
      <c r="Q31" s="53"/>
      <c r="R31" s="1"/>
    </row>
    <row r="32" spans="7:44">
      <c r="G32" t="str">
        <f t="shared" si="9"/>
        <v>BeNe</v>
      </c>
      <c r="H32" s="2">
        <f t="shared" si="13"/>
        <v>0.21576790664467721</v>
      </c>
      <c r="I32" s="2">
        <f t="shared" si="10"/>
        <v>0.92388251881650496</v>
      </c>
      <c r="J32" s="2" t="e">
        <f t="shared" si="10"/>
        <v>#N/A</v>
      </c>
      <c r="K32" s="2">
        <f t="shared" ref="K32" si="21">_xlfn.NORM.DIST(K11,K$16,K$17,TRUE)</f>
        <v>0.35998732951932522</v>
      </c>
      <c r="L32" s="2" t="e">
        <f t="shared" si="10"/>
        <v>#N/A</v>
      </c>
      <c r="M32" s="2" t="e">
        <f t="shared" si="10"/>
        <v>#N/A</v>
      </c>
      <c r="N32" s="2" t="e">
        <f t="shared" si="10"/>
        <v>#N/A</v>
      </c>
      <c r="O32" s="2" t="e">
        <f t="shared" si="12"/>
        <v>#N/A</v>
      </c>
      <c r="P32" s="53"/>
      <c r="Q32" s="53"/>
      <c r="R32" s="1"/>
    </row>
    <row r="33" spans="7:19">
      <c r="G33" t="str">
        <f t="shared" si="9"/>
        <v>Nordics</v>
      </c>
      <c r="H33" s="2">
        <f t="shared" si="13"/>
        <v>0.18659866639053363</v>
      </c>
      <c r="I33" s="2">
        <f t="shared" si="10"/>
        <v>0.62428972366182367</v>
      </c>
      <c r="J33" s="2" t="e">
        <f t="shared" si="10"/>
        <v>#N/A</v>
      </c>
      <c r="K33" s="2">
        <f t="shared" ref="K33" si="22">_xlfn.NORM.DIST(K12,K$16,K$17,TRUE)</f>
        <v>0.35522408099925246</v>
      </c>
      <c r="L33" s="2" t="e">
        <f t="shared" si="10"/>
        <v>#N/A</v>
      </c>
      <c r="M33" s="2" t="e">
        <f t="shared" si="10"/>
        <v>#N/A</v>
      </c>
      <c r="N33" s="2" t="e">
        <f t="shared" si="10"/>
        <v>#N/A</v>
      </c>
      <c r="O33" s="2" t="e">
        <f t="shared" si="12"/>
        <v>#N/A</v>
      </c>
      <c r="P33" s="53"/>
      <c r="Q33" s="53"/>
      <c r="R33" s="1"/>
      <c r="S33" s="46"/>
    </row>
    <row r="34" spans="7:19">
      <c r="G34" t="str">
        <f t="shared" si="9"/>
        <v>Switzerland</v>
      </c>
      <c r="H34" s="2">
        <f t="shared" si="13"/>
        <v>0.36581969616001742</v>
      </c>
      <c r="I34" s="2">
        <f t="shared" si="10"/>
        <v>0.88114925590093063</v>
      </c>
      <c r="J34" s="2" t="e">
        <f t="shared" si="10"/>
        <v>#N/A</v>
      </c>
      <c r="K34" s="2">
        <f t="shared" ref="K34" si="23">_xlfn.NORM.DIST(K13,K$16,K$17,TRUE)</f>
        <v>0.35157449727791018</v>
      </c>
      <c r="L34" s="2" t="e">
        <f t="shared" si="10"/>
        <v>#N/A</v>
      </c>
      <c r="M34" s="2" t="e">
        <f t="shared" si="10"/>
        <v>#N/A</v>
      </c>
      <c r="N34" s="2" t="e">
        <f t="shared" si="10"/>
        <v>#N/A</v>
      </c>
      <c r="O34" s="2" t="e">
        <f t="shared" si="12"/>
        <v>#N/A</v>
      </c>
    </row>
    <row r="35" spans="7:19">
      <c r="G35" t="str">
        <f t="shared" si="9"/>
        <v>Austria</v>
      </c>
      <c r="H35" s="2">
        <f t="shared" si="13"/>
        <v>0.60238114694809763</v>
      </c>
      <c r="I35" s="2">
        <f t="shared" si="10"/>
        <v>0.89281799054954447</v>
      </c>
      <c r="J35" s="2" t="e">
        <f t="shared" si="10"/>
        <v>#N/A</v>
      </c>
      <c r="K35" s="2">
        <f t="shared" ref="K35" si="24">_xlfn.NORM.DIST(K14,K$16,K$17,TRUE)</f>
        <v>0.35048334610947474</v>
      </c>
      <c r="L35" s="2" t="e">
        <f t="shared" si="10"/>
        <v>#N/A</v>
      </c>
      <c r="M35" s="2" t="e">
        <f t="shared" si="10"/>
        <v>#N/A</v>
      </c>
      <c r="N35" s="2" t="e">
        <f t="shared" si="10"/>
        <v>#N/A</v>
      </c>
      <c r="O35" s="2" t="e">
        <f t="shared" si="12"/>
        <v>#N/A</v>
      </c>
    </row>
  </sheetData>
  <autoFilter ref="G2:T2" xr:uid="{70267F6D-DF6A-4561-9FA1-635F9F7A6E14}">
    <sortState xmlns:xlrd2="http://schemas.microsoft.com/office/spreadsheetml/2017/richdata2" ref="G3:T11">
      <sortCondition descending="1" ref="O2"/>
    </sortState>
  </autoFilter>
  <mergeCells count="2">
    <mergeCell ref="H1:I1"/>
    <mergeCell ref="H22:N22"/>
  </mergeCells>
  <conditionalFormatting sqref="H3:H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N3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O3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5A5D-33B4-4313-871E-52B6BEE2DA48}">
  <sheetPr>
    <tabColor rgb="FF00B050"/>
  </sheetPr>
  <dimension ref="A1:AU35"/>
  <sheetViews>
    <sheetView topLeftCell="B1" zoomScale="83" zoomScaleNormal="83" workbookViewId="0">
      <selection activeCell="K15" sqref="K15"/>
    </sheetView>
  </sheetViews>
  <sheetFormatPr baseColWidth="10" defaultColWidth="8.83203125" defaultRowHeight="15"/>
  <cols>
    <col min="1" max="2" width="11.83203125" bestFit="1" customWidth="1"/>
    <col min="3" max="3" width="10.83203125" bestFit="1" customWidth="1"/>
    <col min="4" max="4" width="11.83203125" bestFit="1" customWidth="1"/>
    <col min="5" max="5" width="15.5" bestFit="1" customWidth="1"/>
    <col min="6" max="6" width="14.5" bestFit="1" customWidth="1"/>
    <col min="7" max="7" width="10.6640625" customWidth="1"/>
    <col min="8" max="8" width="17.1640625" bestFit="1" customWidth="1"/>
    <col min="10" max="10" width="13.83203125" bestFit="1" customWidth="1"/>
    <col min="11" max="11" width="12.5" customWidth="1"/>
    <col min="12" max="15" width="13.5" customWidth="1"/>
    <col min="16" max="16" width="9.5" bestFit="1" customWidth="1"/>
    <col min="17" max="17" width="12.83203125" customWidth="1"/>
    <col min="18" max="18" width="8.83203125" bestFit="1" customWidth="1"/>
    <col min="19" max="19" width="14.5" bestFit="1" customWidth="1"/>
    <col min="20" max="20" width="12.1640625" bestFit="1" customWidth="1"/>
    <col min="21" max="21" width="14.1640625" customWidth="1"/>
    <col min="22" max="22" width="14.83203125" customWidth="1"/>
    <col min="23" max="24" width="9.1640625" customWidth="1"/>
    <col min="26" max="26" width="16.5" customWidth="1"/>
    <col min="27" max="27" width="15.83203125" bestFit="1" customWidth="1"/>
    <col min="28" max="29" width="15.83203125" customWidth="1"/>
    <col min="30" max="30" width="26.5" customWidth="1"/>
    <col min="31" max="31" width="23.1640625" customWidth="1"/>
    <col min="32" max="32" width="11.83203125" customWidth="1"/>
    <col min="33" max="33" width="19.5" customWidth="1"/>
    <col min="34" max="34" width="11.33203125" customWidth="1"/>
    <col min="37" max="37" width="14.6640625" bestFit="1" customWidth="1"/>
    <col min="39" max="44" width="8.6640625" style="39"/>
    <col min="45" max="46" width="15.5" style="39" bestFit="1" customWidth="1"/>
    <col min="47" max="47" width="8.6640625" style="39"/>
  </cols>
  <sheetData>
    <row r="1" spans="1:47" ht="39.5" customHeight="1">
      <c r="J1" s="33"/>
      <c r="K1" s="138"/>
      <c r="L1" s="138"/>
      <c r="M1" s="34"/>
      <c r="N1" s="34"/>
      <c r="O1" s="34"/>
      <c r="P1" s="35"/>
      <c r="Q1" s="36" t="s">
        <v>200</v>
      </c>
      <c r="R1" t="s">
        <v>201</v>
      </c>
      <c r="S1" s="104">
        <v>23760000</v>
      </c>
      <c r="T1" s="37"/>
      <c r="U1" s="37"/>
      <c r="AD1" s="38"/>
      <c r="AH1" s="38"/>
    </row>
    <row r="2" spans="1:47" s="40" customFormat="1" ht="48">
      <c r="A2" s="40" t="s">
        <v>204</v>
      </c>
      <c r="B2" s="40" t="s">
        <v>205</v>
      </c>
      <c r="C2" s="40" t="s">
        <v>206</v>
      </c>
      <c r="D2" s="40" t="s">
        <v>207</v>
      </c>
      <c r="E2" s="40" t="s">
        <v>208</v>
      </c>
      <c r="F2" s="40" t="s">
        <v>209</v>
      </c>
      <c r="G2" s="40" t="s">
        <v>210</v>
      </c>
      <c r="H2" s="40" t="s">
        <v>211</v>
      </c>
      <c r="J2" s="93" t="s">
        <v>212</v>
      </c>
      <c r="K2" s="94" t="s">
        <v>213</v>
      </c>
      <c r="L2" s="94" t="s">
        <v>214</v>
      </c>
      <c r="M2" s="94" t="s">
        <v>215</v>
      </c>
      <c r="N2" s="94" t="str">
        <f>GDP!D1</f>
        <v>GDP - Growth</v>
      </c>
      <c r="O2" s="94" t="str">
        <f>DPI!B1</f>
        <v>Disposable Personal Income (USD)</v>
      </c>
      <c r="P2" s="94" t="str">
        <f>'Cost of Media'!B1</f>
        <v>Media Cost</v>
      </c>
      <c r="Q2" s="94" t="s">
        <v>217</v>
      </c>
      <c r="R2" s="41"/>
      <c r="S2" s="98" t="s">
        <v>218</v>
      </c>
      <c r="T2" s="41"/>
      <c r="V2" s="41"/>
      <c r="Z2" s="41"/>
      <c r="AA2" s="41"/>
      <c r="AB2" s="41"/>
      <c r="AC2" s="41"/>
      <c r="AD2" s="42"/>
      <c r="AE2" s="41"/>
      <c r="AF2" s="41"/>
      <c r="AG2" s="41"/>
      <c r="AM2" s="43"/>
      <c r="AN2" s="43"/>
      <c r="AO2" s="44"/>
      <c r="AP2" s="44"/>
      <c r="AQ2" s="44"/>
      <c r="AR2" s="44"/>
      <c r="AS2" s="44"/>
      <c r="AT2" s="44"/>
      <c r="AU2" s="44"/>
    </row>
    <row r="3" spans="1:47">
      <c r="A3" s="1">
        <v>424400</v>
      </c>
      <c r="B3" s="1">
        <v>263900</v>
      </c>
      <c r="C3" s="1">
        <v>4580</v>
      </c>
      <c r="D3" s="1">
        <v>26100</v>
      </c>
      <c r="E3" s="1">
        <v>334910000</v>
      </c>
      <c r="F3" s="1">
        <v>80730000</v>
      </c>
      <c r="G3" s="1">
        <v>1205000</v>
      </c>
      <c r="H3" s="1">
        <v>1692000000</v>
      </c>
      <c r="J3" t="s">
        <v>175</v>
      </c>
      <c r="K3" s="1">
        <f>H3/G3</f>
        <v>1404.1493775933609</v>
      </c>
      <c r="L3" s="2">
        <f>F3/E3</f>
        <v>0.24104983428383744</v>
      </c>
      <c r="M3" s="1">
        <f t="shared" ref="M3:M14" si="0">A3+B3+C3+D3</f>
        <v>718980</v>
      </c>
      <c r="N3" s="4" t="e">
        <f>VLOOKUP(J3,GDP!$A$2:$D$13,4,FALSE)</f>
        <v>#N/A</v>
      </c>
      <c r="O3" s="85" t="e">
        <f>VLOOKUP(J3,DPI!$A$1:$B$13,2,FALSE)</f>
        <v>#N/A</v>
      </c>
      <c r="P3" s="2" t="e">
        <f>VLOOKUP(J3,'Cost of Media'!$A$1:$B$13,2,FALSE)</f>
        <v>#N/A</v>
      </c>
      <c r="Q3" s="2">
        <v>5.0331741928470759</v>
      </c>
      <c r="R3" s="4">
        <f>Q3/SUM($Q$3:$Q$14)</f>
        <v>0.11858369286688586</v>
      </c>
      <c r="S3" s="99">
        <f>R3*$S$1</f>
        <v>2817548.542517208</v>
      </c>
      <c r="T3" t="s">
        <v>175</v>
      </c>
      <c r="U3" s="45"/>
      <c r="V3" s="46"/>
      <c r="Z3" s="47"/>
      <c r="AA3" s="48"/>
      <c r="AB3" s="48"/>
      <c r="AC3" s="48"/>
      <c r="AD3" s="49"/>
      <c r="AE3" s="48"/>
      <c r="AF3" s="48"/>
      <c r="AG3" s="48"/>
      <c r="AH3" s="50"/>
      <c r="AI3" s="48"/>
      <c r="AJ3" s="51"/>
      <c r="AK3" s="48"/>
      <c r="AS3" s="52"/>
      <c r="AT3" s="52"/>
    </row>
    <row r="4" spans="1:47" s="70" customFormat="1">
      <c r="A4" s="71">
        <v>147200</v>
      </c>
      <c r="B4" s="71">
        <v>791500</v>
      </c>
      <c r="C4" s="71">
        <v>55200</v>
      </c>
      <c r="D4" s="1">
        <v>344300</v>
      </c>
      <c r="E4" s="71">
        <v>68350000</v>
      </c>
      <c r="F4" s="1">
        <v>71000000</v>
      </c>
      <c r="G4" s="71">
        <v>3913000</v>
      </c>
      <c r="H4" s="71">
        <v>1757000000</v>
      </c>
      <c r="J4" s="70" t="s">
        <v>180</v>
      </c>
      <c r="K4" s="1">
        <f t="shared" ref="K4:K14" si="1">H4/G4</f>
        <v>449.01610017889089</v>
      </c>
      <c r="L4" s="2">
        <f t="shared" ref="L4:L14" si="2">F4/E4</f>
        <v>1.0387710314557426</v>
      </c>
      <c r="M4" s="1">
        <f t="shared" si="0"/>
        <v>1338200</v>
      </c>
      <c r="N4" s="73" t="e">
        <f>VLOOKUP(J4,GDP!$A$2:$D$13,4,FALSE)</f>
        <v>#N/A</v>
      </c>
      <c r="O4" s="86" t="e">
        <f>VLOOKUP(J4,DPI!$A$1:$B$13,2,FALSE)</f>
        <v>#N/A</v>
      </c>
      <c r="P4" s="72" t="e">
        <f>VLOOKUP(J4,'Cost of Media'!$A$1:$B$13,2,FALSE)</f>
        <v>#N/A</v>
      </c>
      <c r="Q4" s="72">
        <v>4.0494803580548533</v>
      </c>
      <c r="R4" s="73">
        <f t="shared" ref="R4:R14" si="3">Q4/SUM($Q$3:$Q$14)</f>
        <v>9.5407453954704374E-2</v>
      </c>
      <c r="S4" s="100">
        <f>R4*$S$1</f>
        <v>2266881.1059637759</v>
      </c>
      <c r="T4" s="70" t="s">
        <v>180</v>
      </c>
      <c r="U4" s="74"/>
      <c r="Z4" s="75"/>
      <c r="AA4" s="76"/>
      <c r="AB4" s="76"/>
      <c r="AC4" s="76"/>
      <c r="AD4" s="77"/>
      <c r="AE4" s="76"/>
      <c r="AF4" s="76"/>
      <c r="AG4" s="76"/>
      <c r="AH4" s="78"/>
      <c r="AI4" s="76"/>
      <c r="AJ4" s="79"/>
      <c r="AK4" s="76"/>
      <c r="AM4" s="80"/>
      <c r="AN4" s="80"/>
      <c r="AO4" s="80"/>
      <c r="AP4" s="80"/>
      <c r="AQ4" s="80"/>
      <c r="AR4" s="80"/>
      <c r="AS4" s="81"/>
      <c r="AT4" s="81"/>
      <c r="AU4" s="80"/>
    </row>
    <row r="5" spans="1:47">
      <c r="A5" s="1">
        <v>2790</v>
      </c>
      <c r="B5" s="1">
        <v>7280</v>
      </c>
      <c r="C5" s="1">
        <v>490</v>
      </c>
      <c r="D5" s="1">
        <v>1110</v>
      </c>
      <c r="E5" s="1">
        <v>84480000</v>
      </c>
      <c r="F5" s="1">
        <v>86623000</v>
      </c>
      <c r="G5" s="1">
        <v>463000</v>
      </c>
      <c r="H5" s="1">
        <v>430000000</v>
      </c>
      <c r="J5" t="s">
        <v>187</v>
      </c>
      <c r="K5" s="1">
        <f t="shared" si="1"/>
        <v>928.72570194384446</v>
      </c>
      <c r="L5" s="2">
        <f t="shared" si="2"/>
        <v>1.0253669507575758</v>
      </c>
      <c r="M5" s="1">
        <f t="shared" si="0"/>
        <v>11670</v>
      </c>
      <c r="N5" s="4">
        <f>VLOOKUP(J5,GDP!$A$2:$D$13,4,FALSE)</f>
        <v>1.8462859596393377E-2</v>
      </c>
      <c r="O5" s="85">
        <f>VLOOKUP(J5,DPI!$A$1:$B$13,2,FALSE)</f>
        <v>42417</v>
      </c>
      <c r="P5" s="2" t="e">
        <f>VLOOKUP(J5,'Cost of Media'!$A$1:$B$13,2,FALSE)</f>
        <v>#N/A</v>
      </c>
      <c r="Q5" s="2">
        <v>3.451651088103445</v>
      </c>
      <c r="R5" s="4">
        <f t="shared" si="3"/>
        <v>8.132234586615418E-2</v>
      </c>
      <c r="S5" s="99">
        <f t="shared" ref="S5:S14" si="4">R5*$S$1</f>
        <v>1932218.9377798233</v>
      </c>
      <c r="T5" t="s">
        <v>187</v>
      </c>
      <c r="U5" s="45"/>
      <c r="Z5" s="47"/>
      <c r="AA5" s="48"/>
      <c r="AB5" s="48"/>
      <c r="AC5" s="48"/>
      <c r="AD5" s="49"/>
      <c r="AE5" s="48"/>
      <c r="AF5" s="48"/>
      <c r="AG5" s="48"/>
      <c r="AH5" s="50"/>
      <c r="AI5" s="48"/>
      <c r="AJ5" s="51"/>
      <c r="AK5" s="48"/>
      <c r="AS5" s="52"/>
      <c r="AT5" s="52"/>
    </row>
    <row r="6" spans="1:47">
      <c r="A6" s="1">
        <v>1120</v>
      </c>
      <c r="B6" s="1">
        <v>3840</v>
      </c>
      <c r="C6" s="1">
        <v>380</v>
      </c>
      <c r="D6" s="1">
        <v>700</v>
      </c>
      <c r="E6" s="1">
        <v>68170000</v>
      </c>
      <c r="F6" s="1">
        <v>28085000</v>
      </c>
      <c r="G6" s="1">
        <v>395000</v>
      </c>
      <c r="H6" s="1">
        <v>362000000</v>
      </c>
      <c r="J6" t="s">
        <v>167</v>
      </c>
      <c r="K6" s="1">
        <f t="shared" si="1"/>
        <v>916.45569620253161</v>
      </c>
      <c r="L6" s="2">
        <f t="shared" si="2"/>
        <v>0.41198474402229718</v>
      </c>
      <c r="M6" s="1">
        <f t="shared" si="0"/>
        <v>6040</v>
      </c>
      <c r="N6" s="4">
        <f>VLOOKUP(J6,GDP!$A$2:$D$13,4,FALSE)</f>
        <v>1.5496521189120704E-2</v>
      </c>
      <c r="O6" s="85">
        <f>VLOOKUP(J6,DPI!$A$1:$B$13,2,FALSE)</f>
        <v>35001</v>
      </c>
      <c r="P6" s="2">
        <f>VLOOKUP(J6,'Cost of Media'!$A$1:$B$13,2,FALSE)</f>
        <v>4.2772723585232444E-2</v>
      </c>
      <c r="Q6" s="2">
        <v>2.5253235780575802</v>
      </c>
      <c r="R6" s="4">
        <f t="shared" si="3"/>
        <v>5.9497681601297994E-2</v>
      </c>
      <c r="S6" s="99">
        <f t="shared" si="4"/>
        <v>1413664.9148468403</v>
      </c>
      <c r="T6" t="s">
        <v>167</v>
      </c>
      <c r="U6" s="45"/>
      <c r="V6" s="46"/>
      <c r="Z6" s="47"/>
      <c r="AA6" s="48"/>
      <c r="AB6" s="48"/>
      <c r="AC6" s="48"/>
      <c r="AD6" s="49"/>
      <c r="AE6" s="48"/>
      <c r="AF6" s="48"/>
      <c r="AG6" s="48"/>
      <c r="AH6" s="50"/>
      <c r="AI6" s="48"/>
      <c r="AJ6" s="51"/>
      <c r="AK6" s="48"/>
      <c r="AS6" s="52"/>
      <c r="AT6" s="52"/>
    </row>
    <row r="7" spans="1:47">
      <c r="A7" s="1">
        <v>1840</v>
      </c>
      <c r="B7" s="1">
        <v>6790</v>
      </c>
      <c r="C7" s="1">
        <v>560</v>
      </c>
      <c r="D7" s="1">
        <v>1700</v>
      </c>
      <c r="E7" s="1">
        <v>48370000</v>
      </c>
      <c r="F7" s="1">
        <v>15755000</v>
      </c>
      <c r="G7" s="1">
        <v>286000</v>
      </c>
      <c r="H7" s="1">
        <v>264000000</v>
      </c>
      <c r="J7" t="s">
        <v>168</v>
      </c>
      <c r="K7" s="1">
        <f t="shared" si="1"/>
        <v>923.07692307692309</v>
      </c>
      <c r="L7" s="2">
        <f t="shared" si="2"/>
        <v>0.32571842050857969</v>
      </c>
      <c r="M7" s="1">
        <f t="shared" si="0"/>
        <v>10890</v>
      </c>
      <c r="N7" s="4">
        <f>VLOOKUP(J7,GDP!$A$2:$D$13,4,FALSE)</f>
        <v>4.471544715447151E-2</v>
      </c>
      <c r="O7" s="85">
        <f>VLOOKUP(J7,DPI!$A$1:$B$13,2,FALSE)</f>
        <v>31193</v>
      </c>
      <c r="P7" s="2" t="e">
        <f>VLOOKUP(J7,'Cost of Media'!$A$1:$B$13,2,FALSE)</f>
        <v>#N/A</v>
      </c>
      <c r="Q7" s="2">
        <v>3.4116052064139968</v>
      </c>
      <c r="R7" s="4">
        <f t="shared" si="3"/>
        <v>8.0378848114458251E-2</v>
      </c>
      <c r="S7" s="99">
        <f t="shared" si="4"/>
        <v>1909801.431199528</v>
      </c>
      <c r="T7" t="s">
        <v>168</v>
      </c>
      <c r="U7" s="45"/>
      <c r="Z7" s="47"/>
      <c r="AA7" s="48"/>
      <c r="AB7" s="48"/>
      <c r="AC7" s="48"/>
      <c r="AD7" s="49"/>
      <c r="AE7" s="48"/>
      <c r="AF7" s="48"/>
      <c r="AG7" s="48"/>
      <c r="AH7" s="50"/>
      <c r="AI7" s="48"/>
      <c r="AJ7" s="51"/>
      <c r="AK7" s="48"/>
      <c r="AS7" s="52"/>
      <c r="AT7" s="52"/>
    </row>
    <row r="8" spans="1:47">
      <c r="A8" s="1">
        <v>1550</v>
      </c>
      <c r="B8" s="1">
        <v>3620</v>
      </c>
      <c r="C8" s="1">
        <v>310</v>
      </c>
      <c r="D8" s="1">
        <v>390</v>
      </c>
      <c r="E8" s="1">
        <v>58760000</v>
      </c>
      <c r="F8" s="1">
        <v>24970000</v>
      </c>
      <c r="G8" s="1">
        <v>229000</v>
      </c>
      <c r="H8" s="1">
        <v>192000000</v>
      </c>
      <c r="J8" t="s">
        <v>165</v>
      </c>
      <c r="K8" s="1">
        <f t="shared" si="1"/>
        <v>838.42794759825324</v>
      </c>
      <c r="L8" s="2">
        <f t="shared" si="2"/>
        <v>0.42494894486044926</v>
      </c>
      <c r="M8" s="1">
        <f t="shared" si="0"/>
        <v>5870</v>
      </c>
      <c r="N8" s="4">
        <f>VLOOKUP(J8,GDP!$A$2:$D$13,4,FALSE)</f>
        <v>2.1079258010118007E-2</v>
      </c>
      <c r="O8" s="85">
        <f>VLOOKUP(J8,DPI!$A$1:$B$13,2,FALSE)</f>
        <v>34703</v>
      </c>
      <c r="P8" s="2">
        <f>VLOOKUP(J8,'Cost of Media'!$A$1:$B$13,2,FALSE)</f>
        <v>0.15021631649043876</v>
      </c>
      <c r="Q8" s="2">
        <v>2.7486130949279364</v>
      </c>
      <c r="R8" s="4">
        <f t="shared" si="3"/>
        <v>6.4758476176335691E-2</v>
      </c>
      <c r="S8" s="99">
        <f t="shared" si="4"/>
        <v>1538661.3939497361</v>
      </c>
      <c r="T8" t="s">
        <v>165</v>
      </c>
      <c r="U8" s="45"/>
      <c r="Z8" s="47"/>
      <c r="AA8" s="48"/>
      <c r="AB8" s="48"/>
      <c r="AC8" s="48"/>
      <c r="AD8" s="49"/>
      <c r="AE8" s="48"/>
      <c r="AF8" s="48"/>
      <c r="AG8" s="48"/>
      <c r="AH8" s="50"/>
      <c r="AI8" s="48"/>
      <c r="AJ8" s="51"/>
      <c r="AK8" s="48"/>
      <c r="AS8" s="52"/>
      <c r="AT8" s="52"/>
    </row>
    <row r="9" spans="1:47">
      <c r="A9" s="1">
        <v>37700</v>
      </c>
      <c r="B9" s="1">
        <v>35200</v>
      </c>
      <c r="C9" s="1">
        <v>680</v>
      </c>
      <c r="D9" s="1">
        <v>3560</v>
      </c>
      <c r="E9" s="1">
        <v>40100000</v>
      </c>
      <c r="F9" s="1">
        <v>21400000</v>
      </c>
      <c r="G9" s="1">
        <v>180000</v>
      </c>
      <c r="H9" s="1">
        <v>255000000</v>
      </c>
      <c r="J9" t="s">
        <v>177</v>
      </c>
      <c r="K9" s="1">
        <f t="shared" si="1"/>
        <v>1416.6666666666667</v>
      </c>
      <c r="L9" s="2">
        <f t="shared" si="2"/>
        <v>0.53366583541147128</v>
      </c>
      <c r="M9" s="1">
        <f t="shared" si="0"/>
        <v>77140</v>
      </c>
      <c r="N9" s="4">
        <f>VLOOKUP(J9,GDP!$A$2:$D$13,4,FALSE)</f>
        <v>-7.1396697902722517E-3</v>
      </c>
      <c r="O9" s="85">
        <f>VLOOKUP(J9,DPI!$A$1:$B$13,2,FALSE)</f>
        <v>35561</v>
      </c>
      <c r="P9" s="2" t="e">
        <f>VLOOKUP(J9,'Cost of Media'!$A$1:$B$13,2,FALSE)</f>
        <v>#N/A</v>
      </c>
      <c r="Q9" s="2">
        <v>3.4540630128661722</v>
      </c>
      <c r="R9" s="4">
        <f t="shared" si="3"/>
        <v>8.1379171824152566E-2</v>
      </c>
      <c r="S9" s="99">
        <f t="shared" si="4"/>
        <v>1933569.1225418649</v>
      </c>
      <c r="T9" t="s">
        <v>177</v>
      </c>
      <c r="U9" s="45"/>
      <c r="Z9" s="47"/>
      <c r="AA9" s="48"/>
      <c r="AB9" s="48"/>
      <c r="AC9" s="48"/>
      <c r="AD9" s="49"/>
      <c r="AE9" s="48"/>
      <c r="AF9" s="48"/>
      <c r="AG9" s="48"/>
      <c r="AH9" s="50"/>
      <c r="AI9" s="48"/>
      <c r="AJ9" s="51"/>
      <c r="AK9" s="48"/>
      <c r="AS9" s="52"/>
      <c r="AT9" s="52"/>
    </row>
    <row r="10" spans="1:47">
      <c r="A10" s="1">
        <v>24160</v>
      </c>
      <c r="B10" s="1">
        <v>20450</v>
      </c>
      <c r="C10" s="1">
        <v>780</v>
      </c>
      <c r="D10" s="1">
        <v>2840</v>
      </c>
      <c r="E10" s="1">
        <v>31860000</v>
      </c>
      <c r="F10" s="1">
        <v>10629000</v>
      </c>
      <c r="G10" s="1">
        <v>164000</v>
      </c>
      <c r="H10" s="1">
        <v>239000000</v>
      </c>
      <c r="J10" t="s">
        <v>222</v>
      </c>
      <c r="K10" s="1">
        <f t="shared" si="1"/>
        <v>1457.3170731707316</v>
      </c>
      <c r="L10" s="2">
        <f t="shared" si="2"/>
        <v>0.33361581920903954</v>
      </c>
      <c r="M10" s="1">
        <f t="shared" si="0"/>
        <v>48230</v>
      </c>
      <c r="N10" s="4" t="e">
        <f>VLOOKUP(J10,GDP!$A$2:$D$13,4,FALSE)</f>
        <v>#N/A</v>
      </c>
      <c r="O10" s="85" t="e">
        <f>VLOOKUP(J10,DPI!$A$1:$B$13,2,FALSE)</f>
        <v>#N/A</v>
      </c>
      <c r="P10" s="2" t="e">
        <f>VLOOKUP(J10,'Cost of Media'!$A$1:$B$13,2,FALSE)</f>
        <v>#N/A</v>
      </c>
      <c r="Q10" s="2">
        <v>3.8773530324331098</v>
      </c>
      <c r="R10" s="4">
        <f t="shared" si="3"/>
        <v>9.1352062042273599E-2</v>
      </c>
      <c r="S10" s="99">
        <f t="shared" si="4"/>
        <v>2170524.9941244209</v>
      </c>
      <c r="T10" t="s">
        <v>222</v>
      </c>
      <c r="U10" s="45"/>
      <c r="Z10" s="47"/>
      <c r="AA10" s="48"/>
      <c r="AB10" s="48"/>
      <c r="AC10" s="48"/>
      <c r="AD10" s="49"/>
      <c r="AE10" s="48"/>
      <c r="AF10" s="48"/>
      <c r="AG10" s="48"/>
      <c r="AH10" s="50"/>
      <c r="AI10" s="48"/>
      <c r="AJ10" s="51"/>
      <c r="AK10" s="48"/>
      <c r="AS10" s="52"/>
      <c r="AT10" s="52"/>
    </row>
    <row r="11" spans="1:47">
      <c r="A11" s="1">
        <v>2180</v>
      </c>
      <c r="B11" s="1">
        <v>7860</v>
      </c>
      <c r="C11" s="1">
        <v>740</v>
      </c>
      <c r="D11" s="1">
        <v>1260</v>
      </c>
      <c r="E11" s="1">
        <v>30370000</v>
      </c>
      <c r="F11" s="1">
        <v>41970000</v>
      </c>
      <c r="G11" s="1">
        <v>264000</v>
      </c>
      <c r="H11" s="1">
        <v>192000000</v>
      </c>
      <c r="J11" t="s">
        <v>223</v>
      </c>
      <c r="K11" s="1">
        <f t="shared" si="1"/>
        <v>727.27272727272725</v>
      </c>
      <c r="L11" s="2">
        <f t="shared" si="2"/>
        <v>1.3819558775107013</v>
      </c>
      <c r="M11" s="1">
        <f t="shared" si="0"/>
        <v>12040</v>
      </c>
      <c r="N11" s="4" t="e">
        <f>VLOOKUP(J11,GDP!$A$2:$D$13,4,FALSE)</f>
        <v>#N/A</v>
      </c>
      <c r="O11" s="85" t="e">
        <f>VLOOKUP(J11,DPI!$A$1:$B$13,2,FALSE)</f>
        <v>#N/A</v>
      </c>
      <c r="P11" s="2" t="e">
        <f>VLOOKUP(J11,'Cost of Media'!$A$1:$B$13,2,FALSE)</f>
        <v>#N/A</v>
      </c>
      <c r="Q11" s="2">
        <v>3.8189819851657978</v>
      </c>
      <c r="R11" s="4">
        <f t="shared" si="3"/>
        <v>8.9976815711379179E-2</v>
      </c>
      <c r="S11" s="99">
        <f t="shared" si="4"/>
        <v>2137849.1413023695</v>
      </c>
      <c r="T11" t="s">
        <v>223</v>
      </c>
      <c r="U11" s="45"/>
      <c r="Z11" s="47"/>
      <c r="AA11" s="48"/>
      <c r="AB11" s="48"/>
      <c r="AC11" s="48"/>
      <c r="AD11" s="49"/>
      <c r="AE11" s="48"/>
      <c r="AF11" s="48"/>
      <c r="AG11" s="48"/>
      <c r="AH11" s="50"/>
      <c r="AI11" s="48"/>
      <c r="AJ11" s="51"/>
      <c r="AK11" s="48"/>
      <c r="AS11" s="52"/>
      <c r="AT11" s="52"/>
    </row>
    <row r="12" spans="1:47">
      <c r="A12" s="1">
        <v>1640</v>
      </c>
      <c r="B12" s="1">
        <v>4130</v>
      </c>
      <c r="C12" s="1">
        <v>570</v>
      </c>
      <c r="D12" s="1">
        <v>780</v>
      </c>
      <c r="E12" s="1">
        <v>27980000</v>
      </c>
      <c r="F12" s="1">
        <v>25249000</v>
      </c>
      <c r="G12" s="1">
        <v>154000</v>
      </c>
      <c r="H12" s="1">
        <v>107000000</v>
      </c>
      <c r="J12" t="s">
        <v>224</v>
      </c>
      <c r="K12" s="1">
        <f t="shared" si="1"/>
        <v>694.80519480519479</v>
      </c>
      <c r="L12" s="2">
        <f t="shared" si="2"/>
        <v>0.90239456754824876</v>
      </c>
      <c r="M12" s="1">
        <f t="shared" si="0"/>
        <v>7120</v>
      </c>
      <c r="N12" s="4" t="e">
        <f>VLOOKUP(J12,GDP!$A$2:$D$13,4,FALSE)</f>
        <v>#N/A</v>
      </c>
      <c r="O12" s="85" t="e">
        <f>VLOOKUP(J12,DPI!$A$1:$B$13,2,FALSE)</f>
        <v>#N/A</v>
      </c>
      <c r="P12" s="2" t="e">
        <f>VLOOKUP(J12,'Cost of Media'!$A$1:$B$13,2,FALSE)</f>
        <v>#N/A</v>
      </c>
      <c r="Q12" s="2">
        <v>2.3813938186417882</v>
      </c>
      <c r="R12" s="4">
        <f t="shared" si="3"/>
        <v>5.6106636163366815E-2</v>
      </c>
      <c r="S12" s="99">
        <f t="shared" si="4"/>
        <v>1333093.6752415956</v>
      </c>
      <c r="T12" t="s">
        <v>224</v>
      </c>
      <c r="U12" s="45"/>
      <c r="Z12" s="47"/>
      <c r="AA12" s="48"/>
      <c r="AB12" s="48"/>
      <c r="AC12" s="48"/>
      <c r="AD12" s="49"/>
      <c r="AE12" s="48"/>
      <c r="AF12" s="48"/>
      <c r="AG12" s="48"/>
      <c r="AH12" s="50"/>
      <c r="AI12" s="48"/>
      <c r="AJ12" s="51"/>
      <c r="AK12" s="48"/>
      <c r="AS12" s="52"/>
      <c r="AT12" s="52"/>
    </row>
    <row r="13" spans="1:47">
      <c r="A13" s="1">
        <v>590</v>
      </c>
      <c r="B13" s="1">
        <v>1680</v>
      </c>
      <c r="C13" s="1">
        <v>170</v>
      </c>
      <c r="D13" s="1">
        <v>260</v>
      </c>
      <c r="E13" s="1">
        <v>8850000</v>
      </c>
      <c r="F13" s="1">
        <v>11275100</v>
      </c>
      <c r="G13" s="1">
        <v>82000</v>
      </c>
      <c r="H13" s="1">
        <v>71000000</v>
      </c>
      <c r="J13" t="s">
        <v>194</v>
      </c>
      <c r="K13" s="1">
        <f t="shared" si="1"/>
        <v>865.85365853658539</v>
      </c>
      <c r="L13" s="2">
        <f t="shared" si="2"/>
        <v>1.2740225988700564</v>
      </c>
      <c r="M13" s="1">
        <f t="shared" si="0"/>
        <v>2700</v>
      </c>
      <c r="N13" s="4" t="e">
        <f>VLOOKUP(J13,GDP!$A$2:$D$13,4,FALSE)</f>
        <v>#N/A</v>
      </c>
      <c r="O13" s="85" t="e">
        <f>VLOOKUP(J13,DPI!$A$1:$B$13,2,FALSE)</f>
        <v>#N/A</v>
      </c>
      <c r="P13" s="2" t="e">
        <f>VLOOKUP(J13,'Cost of Media'!$A$1:$B$13,2,FALSE)</f>
        <v>#N/A</v>
      </c>
      <c r="Q13" s="2">
        <v>4.0180778908972101</v>
      </c>
      <c r="R13" s="4">
        <f t="shared" si="3"/>
        <v>9.466759867093999E-2</v>
      </c>
      <c r="S13" s="99">
        <f t="shared" si="4"/>
        <v>2249302.1444215341</v>
      </c>
      <c r="T13" t="s">
        <v>194</v>
      </c>
      <c r="U13" s="45"/>
      <c r="Z13" s="47"/>
      <c r="AA13" s="48"/>
      <c r="AB13" s="48"/>
      <c r="AC13" s="48"/>
      <c r="AD13" s="49"/>
      <c r="AE13" s="48"/>
      <c r="AF13" s="48"/>
      <c r="AG13" s="48"/>
      <c r="AH13" s="50"/>
      <c r="AI13" s="48"/>
      <c r="AJ13" s="51"/>
      <c r="AK13" s="48"/>
      <c r="AS13" s="52"/>
      <c r="AT13" s="52"/>
    </row>
    <row r="14" spans="1:47">
      <c r="A14" s="1">
        <v>300</v>
      </c>
      <c r="B14" s="1">
        <v>840</v>
      </c>
      <c r="C14" s="1">
        <v>120</v>
      </c>
      <c r="D14" s="1">
        <v>140</v>
      </c>
      <c r="E14" s="1">
        <v>9130000</v>
      </c>
      <c r="F14" s="1">
        <v>11871000</v>
      </c>
      <c r="G14" s="1">
        <v>37000</v>
      </c>
      <c r="H14" s="1">
        <v>39000000</v>
      </c>
      <c r="J14" t="s">
        <v>172</v>
      </c>
      <c r="K14" s="1">
        <f t="shared" si="1"/>
        <v>1054.0540540540539</v>
      </c>
      <c r="L14" s="2">
        <f t="shared" si="2"/>
        <v>1.3002190580503834</v>
      </c>
      <c r="M14" s="1">
        <f t="shared" si="0"/>
        <v>1400</v>
      </c>
      <c r="N14" s="4" t="e">
        <f>VLOOKUP(J14,GDP!$A$2:$D$13,4,FALSE)</f>
        <v>#N/A</v>
      </c>
      <c r="O14" s="85" t="e">
        <f>VLOOKUP(J14,DPI!$A$1:$B$13,2,FALSE)</f>
        <v>#N/A</v>
      </c>
      <c r="P14" s="2" t="e">
        <f>VLOOKUP(J14,'Cost of Media'!$A$1:$B$13,2,FALSE)</f>
        <v>#N/A</v>
      </c>
      <c r="Q14" s="2">
        <v>3.6743496378461629</v>
      </c>
      <c r="R14" s="4">
        <f t="shared" si="3"/>
        <v>8.6569217008051438E-2</v>
      </c>
      <c r="S14" s="99">
        <f t="shared" si="4"/>
        <v>2056884.5961113023</v>
      </c>
      <c r="T14" t="s">
        <v>172</v>
      </c>
      <c r="U14" s="45"/>
      <c r="Z14" s="47"/>
      <c r="AA14" s="48"/>
      <c r="AB14" s="48"/>
      <c r="AC14" s="48"/>
      <c r="AD14" s="49"/>
      <c r="AE14" s="48"/>
      <c r="AF14" s="48"/>
      <c r="AG14" s="48"/>
      <c r="AH14" s="50"/>
      <c r="AI14" s="48"/>
      <c r="AJ14" s="51"/>
      <c r="AK14" s="48"/>
      <c r="AS14" s="52"/>
      <c r="AT14" s="52"/>
    </row>
    <row r="15" spans="1:47">
      <c r="J15" t="s">
        <v>322</v>
      </c>
      <c r="K15" s="1" t="e">
        <f t="shared" ref="K15" si="5">H15/G15</f>
        <v>#DIV/0!</v>
      </c>
      <c r="L15" s="2" t="e">
        <f t="shared" ref="L15" si="6">F15/E15</f>
        <v>#DIV/0!</v>
      </c>
      <c r="M15" s="1">
        <f t="shared" ref="M15" si="7">A15+B15+C15+D15</f>
        <v>0</v>
      </c>
      <c r="N15" s="4" t="e">
        <f>VLOOKUP(J15,GDP!$A$2:$D$13,4,FALSE)</f>
        <v>#N/A</v>
      </c>
      <c r="O15" s="85">
        <f>VLOOKUP(J15,DPI!$A$1:$B$13,2,FALSE)</f>
        <v>36020</v>
      </c>
      <c r="P15" s="2" t="e">
        <f>VLOOKUP(J15,'Cost of Media'!$A$1:$B$13,2,FALSE)</f>
        <v>#N/A</v>
      </c>
      <c r="Q15" s="2">
        <v>3.6743496378461629</v>
      </c>
      <c r="R15" s="4">
        <f t="shared" ref="R15" si="8">Q15/SUM($Q$3:$Q$14)</f>
        <v>8.6569217008051438E-2</v>
      </c>
      <c r="AD15" s="49"/>
      <c r="AF15" s="48"/>
      <c r="AH15" s="50"/>
    </row>
    <row r="16" spans="1:47">
      <c r="J16" t="s">
        <v>225</v>
      </c>
      <c r="K16" s="1">
        <f>AVERAGE(K3:K14)</f>
        <v>972.98509342498028</v>
      </c>
      <c r="L16" s="1">
        <f t="shared" ref="L16:M16" si="9">AVERAGE(L3:L14)</f>
        <v>0.7661428068740318</v>
      </c>
      <c r="M16" s="1">
        <f t="shared" si="9"/>
        <v>186690</v>
      </c>
      <c r="N16" s="53" t="e">
        <f>AVERAGE(N3:N14)</f>
        <v>#N/A</v>
      </c>
      <c r="O16" s="1" t="e">
        <f>AVERAGE(O3:O14)</f>
        <v>#N/A</v>
      </c>
      <c r="P16" s="2" t="e">
        <f>AVERAGE(P3:P14)</f>
        <v>#N/A</v>
      </c>
      <c r="Q16" s="2">
        <f t="shared" ref="Q16" si="10">AVERAGE(Q3:Q11)</f>
        <v>3.5966939498744406</v>
      </c>
      <c r="V16" s="1">
        <v>29410000</v>
      </c>
      <c r="Z16" s="48"/>
      <c r="AA16" s="48"/>
      <c r="AB16" s="48"/>
      <c r="AC16" s="48"/>
      <c r="AD16" s="49"/>
      <c r="AE16" s="48"/>
      <c r="AF16" s="48"/>
      <c r="AG16" s="48"/>
      <c r="AH16" s="50"/>
      <c r="AT16" s="54"/>
    </row>
    <row r="17" spans="10:46">
      <c r="J17" t="s">
        <v>226</v>
      </c>
      <c r="K17" s="1">
        <f>STDEV(K3:K14)</f>
        <v>312.38609733709762</v>
      </c>
      <c r="L17" s="1">
        <f>STDEV(L3:L14)</f>
        <v>0.43013269657583764</v>
      </c>
      <c r="M17" s="1">
        <f>STDEV(M3:M14)</f>
        <v>415416.65231208754</v>
      </c>
      <c r="N17" s="53" t="e">
        <f t="shared" ref="N17:P17" si="11">STDEV(N3:N14)</f>
        <v>#N/A</v>
      </c>
      <c r="O17" s="1" t="e">
        <f t="shared" ref="O17" si="12">STDEV(O3:O14)</f>
        <v>#N/A</v>
      </c>
      <c r="P17" s="1" t="e">
        <f t="shared" si="11"/>
        <v>#N/A</v>
      </c>
      <c r="Q17" s="2"/>
      <c r="V17" s="1">
        <v>2300000</v>
      </c>
      <c r="AT17" s="55"/>
    </row>
    <row r="18" spans="10:46">
      <c r="J18" s="3" t="s">
        <v>227</v>
      </c>
      <c r="K18" s="63">
        <v>2</v>
      </c>
      <c r="L18" s="63">
        <v>1.2</v>
      </c>
      <c r="M18" s="63">
        <v>1</v>
      </c>
      <c r="N18" s="63">
        <v>1</v>
      </c>
      <c r="O18" s="63">
        <v>1.25</v>
      </c>
      <c r="P18" s="63">
        <v>1</v>
      </c>
      <c r="Q18" s="2"/>
      <c r="V18" s="1">
        <v>3350000</v>
      </c>
    </row>
    <row r="19" spans="10:46">
      <c r="J19" s="57"/>
      <c r="K19" s="56"/>
      <c r="L19" s="56"/>
      <c r="M19" s="56"/>
      <c r="N19" s="56"/>
      <c r="O19" s="56"/>
      <c r="P19" s="56"/>
      <c r="Q19" s="2"/>
      <c r="V19" s="62">
        <f>V16-V17-V18</f>
        <v>23760000</v>
      </c>
    </row>
    <row r="20" spans="10:46">
      <c r="J20" s="58"/>
      <c r="K20" s="2"/>
      <c r="L20" s="2"/>
      <c r="M20" s="2"/>
      <c r="N20" s="2"/>
      <c r="O20" s="2"/>
      <c r="P20" s="2"/>
      <c r="Q20" s="2"/>
      <c r="AE20" s="48"/>
      <c r="AF20" s="48"/>
      <c r="AG20" s="59"/>
    </row>
    <row r="21" spans="10:46">
      <c r="K21" s="2"/>
      <c r="L21" s="2"/>
      <c r="M21" s="2"/>
      <c r="N21" s="2"/>
      <c r="O21" s="2"/>
      <c r="P21" s="2"/>
      <c r="Q21" s="2"/>
      <c r="AE21" s="48"/>
      <c r="AF21" s="48"/>
      <c r="AG21" s="60"/>
    </row>
    <row r="22" spans="10:46">
      <c r="K22" s="143"/>
      <c r="L22" s="143"/>
      <c r="M22" s="143"/>
      <c r="N22" s="143"/>
      <c r="O22" s="143"/>
      <c r="P22" s="143"/>
      <c r="Q22" s="143"/>
      <c r="U22" s="1"/>
      <c r="V22" s="1"/>
    </row>
    <row r="23" spans="10:46" ht="66.5" customHeight="1">
      <c r="J23" s="93" t="s">
        <v>212</v>
      </c>
      <c r="K23" s="94" t="str">
        <f>K2</f>
        <v>Spends Per Trip</v>
      </c>
      <c r="L23" s="94" t="str">
        <f t="shared" ref="L23:P23" si="13">L2</f>
        <v>Tourist Departures / Population</v>
      </c>
      <c r="M23" s="94" t="str">
        <f t="shared" si="13"/>
        <v>SV - All</v>
      </c>
      <c r="N23" s="94" t="str">
        <f t="shared" si="13"/>
        <v>GDP - Growth</v>
      </c>
      <c r="O23" s="94" t="str">
        <f t="shared" si="13"/>
        <v>Disposable Personal Income (USD)</v>
      </c>
      <c r="P23" s="94" t="str">
        <f t="shared" si="13"/>
        <v>Media Cost</v>
      </c>
      <c r="Q23" s="94" t="s">
        <v>228</v>
      </c>
      <c r="R23" s="41"/>
      <c r="S23" s="41"/>
      <c r="T23" s="41"/>
    </row>
    <row r="24" spans="10:46">
      <c r="J24" t="str">
        <f t="shared" ref="J24:J31" si="14">J3</f>
        <v>United States</v>
      </c>
      <c r="K24" s="2">
        <f>_xlfn.NORM.DIST(K3,K$16,K$17,TRUE)</f>
        <v>0.9162418933746187</v>
      </c>
      <c r="L24" s="2">
        <f t="shared" ref="L24:P35" si="15">_xlfn.NORM.DIST(L3,L$16,L$17,TRUE)</f>
        <v>0.11108661033040505</v>
      </c>
      <c r="M24" s="2">
        <f t="shared" si="15"/>
        <v>0.89996287686016263</v>
      </c>
      <c r="N24" s="2" t="e">
        <f t="shared" si="15"/>
        <v>#N/A</v>
      </c>
      <c r="O24" s="2" t="e">
        <f t="shared" ref="O24" si="16">_xlfn.NORM.DIST(O3,O$16,O$17,TRUE)</f>
        <v>#N/A</v>
      </c>
      <c r="P24" s="2" t="e">
        <f t="shared" si="15"/>
        <v>#N/A</v>
      </c>
      <c r="Q24" s="2" t="e">
        <f t="shared" ref="Q24:Q35" si="17">SUMPRODUCT($K$18:$P$18,K24:P24)</f>
        <v>#N/A</v>
      </c>
      <c r="R24" s="53"/>
      <c r="S24" s="53"/>
      <c r="T24" s="53"/>
    </row>
    <row r="25" spans="10:46">
      <c r="J25" t="str">
        <f t="shared" si="14"/>
        <v>United Kingdom</v>
      </c>
      <c r="K25" s="2">
        <f t="shared" ref="K25:M35" si="18">_xlfn.NORM.DIST(K4,K$16,K$17,TRUE)</f>
        <v>4.6740729988345608E-2</v>
      </c>
      <c r="L25" s="2">
        <f t="shared" si="18"/>
        <v>0.73690200267717199</v>
      </c>
      <c r="M25" s="2">
        <f t="shared" si="18"/>
        <v>0.9972138339454828</v>
      </c>
      <c r="N25" s="2" t="e">
        <f t="shared" si="15"/>
        <v>#N/A</v>
      </c>
      <c r="O25" s="2" t="e">
        <f t="shared" ref="O25" si="19">_xlfn.NORM.DIST(O4,O$16,O$17,TRUE)</f>
        <v>#N/A</v>
      </c>
      <c r="P25" s="2" t="e">
        <f t="shared" si="15"/>
        <v>#N/A</v>
      </c>
      <c r="Q25" s="2" t="e">
        <f t="shared" si="17"/>
        <v>#N/A</v>
      </c>
      <c r="R25" s="53"/>
      <c r="S25" s="53"/>
      <c r="T25" s="53"/>
    </row>
    <row r="26" spans="10:46">
      <c r="J26" t="str">
        <f t="shared" si="14"/>
        <v>Germany</v>
      </c>
      <c r="K26" s="2">
        <f t="shared" si="18"/>
        <v>0.44366571752999007</v>
      </c>
      <c r="L26" s="2">
        <f t="shared" si="15"/>
        <v>0.72663284017147012</v>
      </c>
      <c r="M26" s="2">
        <f t="shared" si="15"/>
        <v>0.3367636524904678</v>
      </c>
      <c r="N26" s="2" t="e">
        <f t="shared" si="15"/>
        <v>#N/A</v>
      </c>
      <c r="O26" s="2" t="e">
        <f t="shared" ref="O26" si="20">_xlfn.NORM.DIST(O5,O$16,O$17,TRUE)</f>
        <v>#N/A</v>
      </c>
      <c r="P26" s="2" t="e">
        <f t="shared" si="15"/>
        <v>#N/A</v>
      </c>
      <c r="Q26" s="2" t="e">
        <f t="shared" si="17"/>
        <v>#N/A</v>
      </c>
      <c r="R26" s="53"/>
      <c r="S26" s="53"/>
      <c r="T26" s="53"/>
    </row>
    <row r="27" spans="10:46">
      <c r="J27" t="str">
        <f t="shared" si="14"/>
        <v>France</v>
      </c>
      <c r="K27" s="2">
        <f t="shared" si="18"/>
        <v>0.42819947512164808</v>
      </c>
      <c r="L27" s="2">
        <f t="shared" si="15"/>
        <v>0.20514900416970266</v>
      </c>
      <c r="M27" s="2">
        <f t="shared" si="15"/>
        <v>0.3318303524095283</v>
      </c>
      <c r="N27" s="2" t="e">
        <f t="shared" si="15"/>
        <v>#N/A</v>
      </c>
      <c r="O27" s="2" t="e">
        <f t="shared" ref="O27" si="21">_xlfn.NORM.DIST(O6,O$16,O$17,TRUE)</f>
        <v>#N/A</v>
      </c>
      <c r="P27" s="2" t="e">
        <f t="shared" si="15"/>
        <v>#N/A</v>
      </c>
      <c r="Q27" s="2" t="e">
        <f t="shared" si="17"/>
        <v>#N/A</v>
      </c>
      <c r="R27" s="53"/>
      <c r="S27" s="53"/>
      <c r="T27" s="53"/>
    </row>
    <row r="28" spans="10:46">
      <c r="J28" t="str">
        <f t="shared" si="14"/>
        <v>Spain</v>
      </c>
      <c r="K28" s="2">
        <f t="shared" si="18"/>
        <v>0.4365333431462744</v>
      </c>
      <c r="L28" s="2">
        <f t="shared" si="15"/>
        <v>0.15293493040581069</v>
      </c>
      <c r="M28" s="2">
        <f t="shared" si="15"/>
        <v>0.33607847309741018</v>
      </c>
      <c r="N28" s="2" t="e">
        <f t="shared" si="15"/>
        <v>#N/A</v>
      </c>
      <c r="O28" s="2" t="e">
        <f t="shared" ref="O28" si="22">_xlfn.NORM.DIST(O7,O$16,O$17,TRUE)</f>
        <v>#N/A</v>
      </c>
      <c r="P28" s="2" t="e">
        <f t="shared" si="15"/>
        <v>#N/A</v>
      </c>
      <c r="Q28" s="2" t="e">
        <f t="shared" si="17"/>
        <v>#N/A</v>
      </c>
      <c r="R28" s="53"/>
      <c r="S28" s="53"/>
      <c r="T28" s="53"/>
    </row>
    <row r="29" spans="10:46">
      <c r="J29" t="str">
        <f t="shared" si="14"/>
        <v>Italy</v>
      </c>
      <c r="K29" s="2">
        <f t="shared" si="18"/>
        <v>0.33332876395568933</v>
      </c>
      <c r="L29" s="2">
        <f t="shared" si="15"/>
        <v>0.2138221169516743</v>
      </c>
      <c r="M29" s="2">
        <f t="shared" si="15"/>
        <v>0.33168183672611662</v>
      </c>
      <c r="N29" s="2" t="e">
        <f t="shared" si="15"/>
        <v>#N/A</v>
      </c>
      <c r="O29" s="2" t="e">
        <f t="shared" ref="O29" si="23">_xlfn.NORM.DIST(O8,O$16,O$17,TRUE)</f>
        <v>#N/A</v>
      </c>
      <c r="P29" s="2" t="e">
        <f t="shared" si="15"/>
        <v>#N/A</v>
      </c>
      <c r="Q29" s="2" t="e">
        <f t="shared" si="17"/>
        <v>#N/A</v>
      </c>
      <c r="R29" s="53"/>
      <c r="S29" s="53"/>
      <c r="T29" s="53"/>
    </row>
    <row r="30" spans="10:46">
      <c r="J30" t="str">
        <f t="shared" si="14"/>
        <v>Canada</v>
      </c>
      <c r="K30" s="2">
        <f t="shared" si="18"/>
        <v>0.92223963272527687</v>
      </c>
      <c r="L30" s="2">
        <f t="shared" si="15"/>
        <v>0.29443394539861839</v>
      </c>
      <c r="M30" s="2">
        <f t="shared" si="15"/>
        <v>0.39600125445258305</v>
      </c>
      <c r="N30" s="2" t="e">
        <f t="shared" si="15"/>
        <v>#N/A</v>
      </c>
      <c r="O30" s="2" t="e">
        <f t="shared" ref="O30" si="24">_xlfn.NORM.DIST(O9,O$16,O$17,TRUE)</f>
        <v>#N/A</v>
      </c>
      <c r="P30" s="2" t="e">
        <f t="shared" si="15"/>
        <v>#N/A</v>
      </c>
      <c r="Q30" s="2" t="e">
        <f t="shared" si="17"/>
        <v>#N/A</v>
      </c>
      <c r="R30" s="53"/>
      <c r="S30" s="53"/>
      <c r="T30" s="53"/>
    </row>
    <row r="31" spans="10:46">
      <c r="J31" t="str">
        <f t="shared" si="14"/>
        <v>AUS / NZ</v>
      </c>
      <c r="K31" s="2">
        <f t="shared" si="18"/>
        <v>0.93948052263730031</v>
      </c>
      <c r="L31" s="2">
        <f t="shared" si="15"/>
        <v>0.15731209652946976</v>
      </c>
      <c r="M31" s="2">
        <f t="shared" si="15"/>
        <v>0.36945243910743186</v>
      </c>
      <c r="N31" s="2" t="e">
        <f t="shared" si="15"/>
        <v>#N/A</v>
      </c>
      <c r="O31" s="2" t="e">
        <f t="shared" ref="O31" si="25">_xlfn.NORM.DIST(O10,O$16,O$17,TRUE)</f>
        <v>#N/A</v>
      </c>
      <c r="P31" s="2" t="e">
        <f t="shared" si="15"/>
        <v>#N/A</v>
      </c>
      <c r="Q31" s="2" t="e">
        <f t="shared" si="17"/>
        <v>#N/A</v>
      </c>
      <c r="R31" s="53"/>
      <c r="S31" s="53"/>
      <c r="T31" s="1"/>
    </row>
    <row r="32" spans="10:46">
      <c r="J32" t="str">
        <f t="shared" ref="J32:J35" si="26">J11</f>
        <v>BeNe</v>
      </c>
      <c r="K32" s="2">
        <f t="shared" si="18"/>
        <v>0.21576790664467721</v>
      </c>
      <c r="L32" s="2">
        <f t="shared" si="15"/>
        <v>0.92388251881650496</v>
      </c>
      <c r="M32" s="2">
        <f t="shared" si="15"/>
        <v>0.33708886322060438</v>
      </c>
      <c r="N32" s="2" t="e">
        <f t="shared" si="15"/>
        <v>#N/A</v>
      </c>
      <c r="O32" s="2" t="e">
        <f t="shared" ref="O32" si="27">_xlfn.NORM.DIST(O11,O$16,O$17,TRUE)</f>
        <v>#N/A</v>
      </c>
      <c r="P32" s="2" t="e">
        <f t="shared" si="15"/>
        <v>#N/A</v>
      </c>
      <c r="Q32" s="2" t="e">
        <f t="shared" si="17"/>
        <v>#N/A</v>
      </c>
      <c r="R32" s="53"/>
      <c r="S32" s="53"/>
      <c r="T32" s="1"/>
    </row>
    <row r="33" spans="10:21">
      <c r="J33" t="str">
        <f t="shared" si="26"/>
        <v>Nordics</v>
      </c>
      <c r="K33" s="2">
        <f t="shared" si="18"/>
        <v>0.18659866639053363</v>
      </c>
      <c r="L33" s="2">
        <f t="shared" si="15"/>
        <v>0.62428972366182367</v>
      </c>
      <c r="M33" s="2">
        <f t="shared" si="15"/>
        <v>0.33277448032503976</v>
      </c>
      <c r="N33" s="2" t="e">
        <f t="shared" si="15"/>
        <v>#N/A</v>
      </c>
      <c r="O33" s="2" t="e">
        <f t="shared" ref="O33" si="28">_xlfn.NORM.DIST(O12,O$16,O$17,TRUE)</f>
        <v>#N/A</v>
      </c>
      <c r="P33" s="2" t="e">
        <f t="shared" si="15"/>
        <v>#N/A</v>
      </c>
      <c r="Q33" s="2" t="e">
        <f t="shared" si="17"/>
        <v>#N/A</v>
      </c>
      <c r="R33" s="53"/>
      <c r="S33" s="53"/>
      <c r="T33" s="1"/>
      <c r="U33" s="46"/>
    </row>
    <row r="34" spans="10:21">
      <c r="J34" t="str">
        <f t="shared" si="26"/>
        <v>Switzerland</v>
      </c>
      <c r="K34" s="2">
        <f t="shared" si="18"/>
        <v>0.36581969616001742</v>
      </c>
      <c r="L34" s="2">
        <f t="shared" si="15"/>
        <v>0.88114925590093063</v>
      </c>
      <c r="M34" s="2">
        <f t="shared" si="15"/>
        <v>0.32891732320458633</v>
      </c>
      <c r="N34" s="2" t="e">
        <f t="shared" si="15"/>
        <v>#N/A</v>
      </c>
      <c r="O34" s="2" t="e">
        <f t="shared" ref="O34" si="29">_xlfn.NORM.DIST(O13,O$16,O$17,TRUE)</f>
        <v>#N/A</v>
      </c>
      <c r="P34" s="2" t="e">
        <f t="shared" si="15"/>
        <v>#N/A</v>
      </c>
      <c r="Q34" s="2" t="e">
        <f t="shared" si="17"/>
        <v>#N/A</v>
      </c>
    </row>
    <row r="35" spans="10:21">
      <c r="J35" t="str">
        <f t="shared" si="26"/>
        <v>Austria</v>
      </c>
      <c r="K35" s="2">
        <f t="shared" si="18"/>
        <v>0.60238114694809763</v>
      </c>
      <c r="L35" s="2">
        <f t="shared" si="15"/>
        <v>0.89281799054954447</v>
      </c>
      <c r="M35" s="2">
        <f t="shared" si="15"/>
        <v>0.32778630063709585</v>
      </c>
      <c r="N35" s="2" t="e">
        <f t="shared" si="15"/>
        <v>#N/A</v>
      </c>
      <c r="O35" s="2" t="e">
        <f t="shared" ref="O35" si="30">_xlfn.NORM.DIST(O14,O$16,O$17,TRUE)</f>
        <v>#N/A</v>
      </c>
      <c r="P35" s="2" t="e">
        <f t="shared" si="15"/>
        <v>#N/A</v>
      </c>
      <c r="Q35" s="2" t="e">
        <f t="shared" si="17"/>
        <v>#N/A</v>
      </c>
    </row>
  </sheetData>
  <autoFilter ref="J2:V2" xr:uid="{70267F6D-DF6A-4561-9FA1-635F9F7A6E14}">
    <sortState xmlns:xlrd2="http://schemas.microsoft.com/office/spreadsheetml/2017/richdata2" ref="J3:V11">
      <sortCondition descending="1" ref="Q2"/>
    </sortState>
  </autoFilter>
  <mergeCells count="2">
    <mergeCell ref="K1:L1"/>
    <mergeCell ref="K22:Q22"/>
  </mergeCells>
  <conditionalFormatting sqref="K3:K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P3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Q3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166-5491-48B9-B7E2-093ECD955EA8}">
  <sheetPr>
    <tabColor rgb="FF00B0F0"/>
  </sheetPr>
  <dimension ref="A1:F28"/>
  <sheetViews>
    <sheetView workbookViewId="0">
      <selection activeCell="A19" sqref="A19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13.5" bestFit="1" customWidth="1"/>
  </cols>
  <sheetData>
    <row r="1" spans="1:6">
      <c r="A1" t="s">
        <v>212</v>
      </c>
      <c r="B1" t="s">
        <v>240</v>
      </c>
    </row>
    <row r="2" spans="1:6" ht="16">
      <c r="A2" s="117" t="s">
        <v>229</v>
      </c>
      <c r="B2" s="5">
        <v>60944</v>
      </c>
      <c r="F2" s="5"/>
    </row>
    <row r="3" spans="1:6" ht="16">
      <c r="A3" s="117" t="s">
        <v>187</v>
      </c>
      <c r="B3" s="5">
        <v>42417</v>
      </c>
      <c r="F3" s="5"/>
    </row>
    <row r="4" spans="1:6" ht="16">
      <c r="A4" s="117" t="s">
        <v>184</v>
      </c>
      <c r="B4" s="5">
        <v>40722</v>
      </c>
      <c r="F4" s="5"/>
    </row>
    <row r="5" spans="1:6" ht="16">
      <c r="A5" s="117" t="s">
        <v>183</v>
      </c>
      <c r="B5" s="5">
        <v>37365</v>
      </c>
      <c r="F5" s="5"/>
    </row>
    <row r="6" spans="1:6" ht="16">
      <c r="A6" s="117" t="s">
        <v>176</v>
      </c>
      <c r="B6" s="5">
        <v>36230</v>
      </c>
      <c r="F6" s="5"/>
    </row>
    <row r="7" spans="1:6" ht="16">
      <c r="A7" s="117" t="s">
        <v>230</v>
      </c>
      <c r="B7" s="5">
        <v>36077</v>
      </c>
      <c r="F7" s="5"/>
    </row>
    <row r="8" spans="1:6" ht="16">
      <c r="A8" s="117" t="s">
        <v>322</v>
      </c>
      <c r="B8" s="5">
        <v>36020</v>
      </c>
      <c r="F8" s="5"/>
    </row>
    <row r="9" spans="1:6" ht="16">
      <c r="A9" s="117" t="s">
        <v>177</v>
      </c>
      <c r="B9" s="5">
        <v>35561</v>
      </c>
      <c r="F9" s="5"/>
    </row>
    <row r="10" spans="1:6" ht="16">
      <c r="A10" s="117" t="s">
        <v>167</v>
      </c>
      <c r="B10" s="5">
        <v>35001</v>
      </c>
      <c r="F10" s="5"/>
    </row>
    <row r="11" spans="1:6" ht="16">
      <c r="A11" s="117" t="s">
        <v>165</v>
      </c>
      <c r="B11" s="5">
        <v>34703</v>
      </c>
      <c r="F11" s="5"/>
    </row>
    <row r="12" spans="1:6" ht="16">
      <c r="A12" s="117" t="s">
        <v>168</v>
      </c>
      <c r="B12" s="5">
        <v>31193</v>
      </c>
      <c r="F12" s="5"/>
    </row>
    <row r="13" spans="1:6" ht="16">
      <c r="A13" s="117" t="s">
        <v>171</v>
      </c>
      <c r="B13" s="5">
        <v>28040</v>
      </c>
      <c r="F13" s="5"/>
    </row>
    <row r="14" spans="1:6" ht="16">
      <c r="A14" s="117" t="s">
        <v>146</v>
      </c>
      <c r="B14" s="5">
        <v>26600</v>
      </c>
      <c r="F14" s="5"/>
    </row>
    <row r="15" spans="1:6" ht="16">
      <c r="A15" s="117" t="s">
        <v>161</v>
      </c>
      <c r="B15" s="5">
        <v>25947</v>
      </c>
      <c r="F15" s="5"/>
    </row>
    <row r="16" spans="1:6" ht="16">
      <c r="A16" s="117" t="s">
        <v>136</v>
      </c>
      <c r="B16" s="5">
        <v>16800</v>
      </c>
      <c r="F16" s="5"/>
    </row>
    <row r="17" spans="1:6" ht="16">
      <c r="A17" s="117" t="s">
        <v>155</v>
      </c>
      <c r="B17" s="5">
        <v>10224</v>
      </c>
      <c r="F17" s="5"/>
    </row>
    <row r="18" spans="1:6" ht="16">
      <c r="A18" s="117" t="s">
        <v>159</v>
      </c>
      <c r="B18" s="5">
        <v>10080</v>
      </c>
      <c r="F18" s="5"/>
    </row>
    <row r="19" spans="1:6" ht="16">
      <c r="A19" s="117" t="s">
        <v>139</v>
      </c>
      <c r="B19" s="5">
        <v>9053</v>
      </c>
      <c r="F19" s="5"/>
    </row>
    <row r="20" spans="1:6">
      <c r="A20" s="128" t="s">
        <v>323</v>
      </c>
      <c r="B20" s="5">
        <v>9660</v>
      </c>
      <c r="F20" s="5"/>
    </row>
    <row r="21" spans="1:6" ht="16">
      <c r="A21" s="117" t="s">
        <v>142</v>
      </c>
      <c r="B21" s="5">
        <v>7532</v>
      </c>
    </row>
    <row r="22" spans="1:6" ht="16">
      <c r="A22" s="117" t="s">
        <v>120</v>
      </c>
      <c r="B22" s="5">
        <v>5738</v>
      </c>
    </row>
    <row r="23" spans="1:6" ht="16">
      <c r="A23" s="117" t="s">
        <v>119</v>
      </c>
      <c r="B23" s="5">
        <v>2555</v>
      </c>
    </row>
    <row r="24" spans="1:6" ht="16">
      <c r="A24" s="117" t="s">
        <v>61</v>
      </c>
      <c r="B24" s="5">
        <v>2531</v>
      </c>
    </row>
    <row r="25" spans="1:6" ht="16">
      <c r="A25" s="117" t="s">
        <v>90</v>
      </c>
      <c r="B25" s="5">
        <v>2072</v>
      </c>
    </row>
    <row r="26" spans="1:6" ht="16">
      <c r="A26" s="117" t="s">
        <v>89</v>
      </c>
      <c r="B26" s="5">
        <v>1706</v>
      </c>
    </row>
    <row r="27" spans="1:6" ht="16">
      <c r="A27" s="117" t="s">
        <v>154</v>
      </c>
      <c r="B27" s="5">
        <v>17459</v>
      </c>
    </row>
    <row r="28" spans="1:6">
      <c r="A28" s="6" t="s">
        <v>239</v>
      </c>
      <c r="B28" s="7" t="s">
        <v>241</v>
      </c>
    </row>
  </sheetData>
  <hyperlinks>
    <hyperlink ref="B28" r:id="rId1" xr:uid="{373B0E53-090E-024D-A7B3-45C7CAF4E7F4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1CB7-A3DB-4AFB-8736-90313DBE322C}">
  <sheetPr>
    <tabColor rgb="FF00B0F0"/>
  </sheetPr>
  <dimension ref="A1:J28"/>
  <sheetViews>
    <sheetView workbookViewId="0">
      <selection activeCell="B26" sqref="B26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10">
      <c r="A1" t="s">
        <v>212</v>
      </c>
      <c r="B1" t="s">
        <v>210</v>
      </c>
    </row>
    <row r="2" spans="1:10" ht="16">
      <c r="A2" s="114" t="s">
        <v>322</v>
      </c>
      <c r="B2" s="117"/>
      <c r="J2" s="5"/>
    </row>
    <row r="3" spans="1:10" ht="16">
      <c r="A3" s="114" t="s">
        <v>229</v>
      </c>
      <c r="B3" s="117">
        <v>704.9</v>
      </c>
      <c r="J3" s="5"/>
    </row>
    <row r="4" spans="1:10" ht="16">
      <c r="A4" s="114" t="s">
        <v>167</v>
      </c>
      <c r="B4" s="117">
        <v>433.9</v>
      </c>
      <c r="J4" s="5"/>
    </row>
    <row r="5" spans="1:10" ht="16">
      <c r="A5" s="114" t="s">
        <v>61</v>
      </c>
      <c r="B5" s="119">
        <v>2200.3000000000002</v>
      </c>
      <c r="J5" s="5"/>
    </row>
    <row r="6" spans="1:10" ht="16">
      <c r="A6" s="114" t="s">
        <v>230</v>
      </c>
      <c r="B6" s="119">
        <v>1245.0999999999999</v>
      </c>
      <c r="J6" s="5"/>
    </row>
    <row r="7" spans="1:10" ht="16">
      <c r="A7" s="114" t="s">
        <v>165</v>
      </c>
      <c r="B7" s="117">
        <v>247</v>
      </c>
      <c r="J7" s="5"/>
    </row>
    <row r="8" spans="1:10" ht="16">
      <c r="A8" s="114" t="s">
        <v>120</v>
      </c>
      <c r="B8" s="117">
        <v>177</v>
      </c>
      <c r="J8" s="5"/>
    </row>
    <row r="9" spans="1:10" ht="16">
      <c r="A9" s="114" t="s">
        <v>155</v>
      </c>
      <c r="B9" s="119">
        <v>1452.6</v>
      </c>
      <c r="J9" s="5"/>
    </row>
    <row r="10" spans="1:10" ht="16">
      <c r="A10" s="114" t="s">
        <v>187</v>
      </c>
      <c r="B10" s="117">
        <v>504.2</v>
      </c>
      <c r="J10" s="5"/>
    </row>
    <row r="11" spans="1:10" ht="16">
      <c r="A11" s="114" t="s">
        <v>139</v>
      </c>
      <c r="B11" s="117">
        <v>905.5</v>
      </c>
      <c r="J11" s="5"/>
    </row>
    <row r="12" spans="1:10" ht="16">
      <c r="A12" s="114" t="s">
        <v>146</v>
      </c>
      <c r="B12" s="117">
        <v>84</v>
      </c>
      <c r="J12" s="5"/>
    </row>
    <row r="13" spans="1:10" ht="16">
      <c r="A13" s="67" t="s">
        <v>90</v>
      </c>
      <c r="B13" s="117">
        <v>170</v>
      </c>
      <c r="J13" s="5"/>
    </row>
    <row r="14" spans="1:10" ht="16">
      <c r="A14" s="67" t="s">
        <v>323</v>
      </c>
      <c r="B14" s="117">
        <v>74</v>
      </c>
      <c r="J14" s="5"/>
    </row>
    <row r="15" spans="1:10" ht="16">
      <c r="A15" s="67" t="s">
        <v>161</v>
      </c>
      <c r="B15" s="117">
        <v>52.4</v>
      </c>
      <c r="J15" s="5"/>
    </row>
    <row r="16" spans="1:10" ht="16">
      <c r="A16" s="67" t="s">
        <v>154</v>
      </c>
      <c r="B16" s="117"/>
      <c r="J16" s="5"/>
    </row>
    <row r="17" spans="1:10" ht="16">
      <c r="A17" s="67" t="s">
        <v>177</v>
      </c>
      <c r="B17" s="117">
        <v>59</v>
      </c>
      <c r="J17" s="5"/>
    </row>
    <row r="18" spans="1:10" ht="16">
      <c r="A18" s="67" t="s">
        <v>142</v>
      </c>
      <c r="B18" s="117">
        <v>35.1</v>
      </c>
      <c r="J18" s="5"/>
    </row>
    <row r="19" spans="1:10" ht="16">
      <c r="A19" s="67" t="s">
        <v>136</v>
      </c>
      <c r="B19" s="119">
        <v>1565.8</v>
      </c>
      <c r="J19" s="5"/>
    </row>
    <row r="20" spans="1:10" ht="16">
      <c r="A20" s="67" t="s">
        <v>168</v>
      </c>
      <c r="B20" s="117">
        <v>52.8</v>
      </c>
      <c r="J20" s="5"/>
    </row>
    <row r="21" spans="1:10" ht="16">
      <c r="A21" s="67" t="s">
        <v>184</v>
      </c>
      <c r="B21" s="117">
        <v>61.4</v>
      </c>
    </row>
    <row r="22" spans="1:10" ht="16">
      <c r="A22" s="67" t="s">
        <v>171</v>
      </c>
      <c r="B22" s="117">
        <v>27</v>
      </c>
    </row>
    <row r="23" spans="1:10" ht="16">
      <c r="A23" s="67" t="s">
        <v>89</v>
      </c>
      <c r="B23" s="117">
        <v>104.6</v>
      </c>
    </row>
    <row r="24" spans="1:10" ht="16">
      <c r="A24" s="67" t="s">
        <v>159</v>
      </c>
      <c r="B24" s="117">
        <v>40.700000000000003</v>
      </c>
    </row>
    <row r="25" spans="1:10" ht="16">
      <c r="A25" s="67" t="s">
        <v>176</v>
      </c>
      <c r="B25" s="117">
        <v>37.700000000000003</v>
      </c>
    </row>
    <row r="26" spans="1:10" ht="16">
      <c r="A26" s="67" t="s">
        <v>119</v>
      </c>
      <c r="B26" s="117">
        <v>12</v>
      </c>
    </row>
    <row r="27" spans="1:10" ht="16">
      <c r="A27" s="67" t="s">
        <v>183</v>
      </c>
      <c r="B27" s="117">
        <v>36.6</v>
      </c>
    </row>
    <row r="28" spans="1:10">
      <c r="A28" s="6" t="s">
        <v>239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5090-4B65-42D5-8C6E-1B8DF031DBAE}">
  <sheetPr>
    <tabColor rgb="FFFF0000"/>
  </sheetPr>
  <dimension ref="A1:J68"/>
  <sheetViews>
    <sheetView workbookViewId="0">
      <selection activeCell="J13" sqref="J1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5" max="5" width="28.33203125" bestFit="1" customWidth="1"/>
  </cols>
  <sheetData>
    <row r="1" spans="1:10">
      <c r="A1" t="s">
        <v>212</v>
      </c>
      <c r="B1" t="s">
        <v>211</v>
      </c>
    </row>
    <row r="2" spans="1:10">
      <c r="A2" t="s">
        <v>175</v>
      </c>
      <c r="B2" s="8">
        <v>1692</v>
      </c>
      <c r="E2" t="s">
        <v>616</v>
      </c>
      <c r="F2" t="s">
        <v>617</v>
      </c>
      <c r="J2" s="5"/>
    </row>
    <row r="3" spans="1:10">
      <c r="A3" t="s">
        <v>180</v>
      </c>
      <c r="B3" s="8">
        <v>1757</v>
      </c>
      <c r="E3" t="s">
        <v>618</v>
      </c>
      <c r="F3">
        <v>377523.37999999995</v>
      </c>
      <c r="J3" s="5"/>
    </row>
    <row r="4" spans="1:10">
      <c r="A4" t="s">
        <v>187</v>
      </c>
      <c r="B4" s="8">
        <v>430</v>
      </c>
      <c r="E4" t="s">
        <v>619</v>
      </c>
      <c r="F4">
        <v>497551.3</v>
      </c>
      <c r="J4" s="5"/>
    </row>
    <row r="5" spans="1:10">
      <c r="A5" t="s">
        <v>167</v>
      </c>
      <c r="B5" s="8">
        <v>362</v>
      </c>
      <c r="E5" t="s">
        <v>620</v>
      </c>
      <c r="F5">
        <v>6574297.0399999963</v>
      </c>
      <c r="J5" s="5"/>
    </row>
    <row r="6" spans="1:10">
      <c r="A6" t="s">
        <v>168</v>
      </c>
      <c r="B6" s="8">
        <v>264</v>
      </c>
      <c r="E6" t="s">
        <v>621</v>
      </c>
      <c r="F6">
        <v>1703165.4600000007</v>
      </c>
      <c r="J6" s="5"/>
    </row>
    <row r="7" spans="1:10">
      <c r="A7" t="s">
        <v>165</v>
      </c>
      <c r="B7" s="8">
        <v>192</v>
      </c>
      <c r="E7" t="s">
        <v>622</v>
      </c>
      <c r="F7">
        <v>185231.32999999996</v>
      </c>
      <c r="J7" s="5"/>
    </row>
    <row r="8" spans="1:10">
      <c r="A8" t="s">
        <v>177</v>
      </c>
      <c r="B8" s="8">
        <v>255</v>
      </c>
      <c r="E8" t="s">
        <v>623</v>
      </c>
      <c r="F8">
        <v>1142257.6299999999</v>
      </c>
      <c r="J8" s="5"/>
    </row>
    <row r="9" spans="1:10">
      <c r="A9" s="24" t="s">
        <v>222</v>
      </c>
      <c r="B9" s="25">
        <f>SUM(B24:B25)</f>
        <v>239</v>
      </c>
      <c r="E9" t="s">
        <v>624</v>
      </c>
      <c r="F9">
        <v>2747351.9799999991</v>
      </c>
      <c r="J9" s="5"/>
    </row>
    <row r="10" spans="1:10">
      <c r="A10" s="23" t="s">
        <v>223</v>
      </c>
      <c r="B10" s="29">
        <f>SUM(B16:B18)</f>
        <v>192</v>
      </c>
      <c r="E10" t="s">
        <v>625</v>
      </c>
      <c r="F10">
        <v>2638362.23</v>
      </c>
      <c r="J10" s="5"/>
    </row>
    <row r="11" spans="1:10">
      <c r="A11" s="27" t="s">
        <v>224</v>
      </c>
      <c r="B11" s="28">
        <v>107</v>
      </c>
      <c r="E11" t="s">
        <v>626</v>
      </c>
      <c r="F11">
        <v>6570298.9299999978</v>
      </c>
      <c r="J11" s="5"/>
    </row>
    <row r="12" spans="1:10">
      <c r="A12" t="s">
        <v>194</v>
      </c>
      <c r="B12" s="8">
        <v>71</v>
      </c>
      <c r="E12" t="s">
        <v>627</v>
      </c>
      <c r="F12">
        <v>17427906.300000001</v>
      </c>
      <c r="J12" s="5"/>
    </row>
    <row r="13" spans="1:10">
      <c r="A13" t="s">
        <v>172</v>
      </c>
      <c r="B13" s="8">
        <v>39</v>
      </c>
      <c r="E13" t="s">
        <v>628</v>
      </c>
      <c r="F13">
        <v>1178763.3100000003</v>
      </c>
      <c r="J13" s="5"/>
    </row>
    <row r="14" spans="1:10">
      <c r="B14" s="8"/>
      <c r="E14" t="s">
        <v>629</v>
      </c>
      <c r="F14">
        <v>1703822.47</v>
      </c>
      <c r="J14" s="5"/>
    </row>
    <row r="15" spans="1:10">
      <c r="B15" s="8"/>
      <c r="E15" t="s">
        <v>630</v>
      </c>
      <c r="F15">
        <v>348670.34000000008</v>
      </c>
      <c r="J15" s="5"/>
    </row>
    <row r="16" spans="1:10">
      <c r="A16" s="23" t="s">
        <v>183</v>
      </c>
      <c r="B16" s="29">
        <v>60</v>
      </c>
      <c r="E16" t="s">
        <v>631</v>
      </c>
      <c r="F16">
        <v>485725.98000000004</v>
      </c>
      <c r="J16" s="5"/>
    </row>
    <row r="17" spans="1:10">
      <c r="A17" s="23" t="s">
        <v>184</v>
      </c>
      <c r="B17" s="29">
        <v>132</v>
      </c>
      <c r="E17" t="s">
        <v>632</v>
      </c>
      <c r="F17">
        <v>16228492.999999996</v>
      </c>
      <c r="J17" s="5"/>
    </row>
    <row r="18" spans="1:10">
      <c r="A18" s="23" t="s">
        <v>174</v>
      </c>
      <c r="B18" s="29"/>
      <c r="E18" t="s">
        <v>633</v>
      </c>
      <c r="F18">
        <v>14734717.07</v>
      </c>
      <c r="J18" s="5"/>
    </row>
    <row r="19" spans="1:10">
      <c r="A19" s="27" t="s">
        <v>190</v>
      </c>
      <c r="B19" s="28"/>
      <c r="E19" t="s">
        <v>634</v>
      </c>
      <c r="F19">
        <v>541163.2899999998</v>
      </c>
      <c r="J19" s="5"/>
    </row>
    <row r="20" spans="1:10">
      <c r="A20" s="27" t="s">
        <v>182</v>
      </c>
      <c r="B20" s="28"/>
      <c r="E20" t="s">
        <v>635</v>
      </c>
      <c r="F20">
        <v>1648112.9799999995</v>
      </c>
      <c r="J20" s="5"/>
    </row>
    <row r="21" spans="1:10">
      <c r="A21" s="27" t="s">
        <v>192</v>
      </c>
      <c r="B21" s="28"/>
      <c r="E21" t="s">
        <v>636</v>
      </c>
      <c r="F21">
        <v>114640.76000000001</v>
      </c>
    </row>
    <row r="22" spans="1:10">
      <c r="A22" s="27" t="s">
        <v>193</v>
      </c>
      <c r="B22" s="28"/>
      <c r="E22" t="s">
        <v>637</v>
      </c>
      <c r="F22">
        <v>1874057.12</v>
      </c>
    </row>
    <row r="23" spans="1:10">
      <c r="A23" s="27" t="s">
        <v>189</v>
      </c>
      <c r="B23" s="28"/>
      <c r="E23" t="s">
        <v>638</v>
      </c>
      <c r="F23">
        <v>792944.28999999992</v>
      </c>
    </row>
    <row r="24" spans="1:10">
      <c r="A24" s="26" t="s">
        <v>185</v>
      </c>
      <c r="B24" s="25">
        <v>210</v>
      </c>
      <c r="E24" t="s">
        <v>639</v>
      </c>
      <c r="F24">
        <v>27833730.570000026</v>
      </c>
    </row>
    <row r="25" spans="1:10">
      <c r="A25" s="26" t="s">
        <v>179</v>
      </c>
      <c r="B25" s="25">
        <v>29</v>
      </c>
      <c r="E25" t="s">
        <v>640</v>
      </c>
      <c r="F25">
        <v>1149398.27</v>
      </c>
    </row>
    <row r="26" spans="1:10">
      <c r="E26" t="s">
        <v>641</v>
      </c>
      <c r="F26">
        <v>5212680.9600000009</v>
      </c>
    </row>
    <row r="27" spans="1:10">
      <c r="E27" t="s">
        <v>642</v>
      </c>
      <c r="F27">
        <v>6905338.9000000004</v>
      </c>
    </row>
    <row r="28" spans="1:10">
      <c r="A28" s="6" t="s">
        <v>239</v>
      </c>
      <c r="E28" t="s">
        <v>643</v>
      </c>
      <c r="F28">
        <v>191855.54</v>
      </c>
    </row>
    <row r="29" spans="1:10">
      <c r="E29" t="s">
        <v>644</v>
      </c>
      <c r="F29">
        <v>8686046.0099999979</v>
      </c>
    </row>
    <row r="30" spans="1:10">
      <c r="E30" t="s">
        <v>645</v>
      </c>
      <c r="F30">
        <v>671892.96000000008</v>
      </c>
    </row>
    <row r="31" spans="1:10">
      <c r="E31" t="s">
        <v>646</v>
      </c>
      <c r="F31">
        <v>6787650.7299999995</v>
      </c>
    </row>
    <row r="32" spans="1:10">
      <c r="E32" t="s">
        <v>647</v>
      </c>
      <c r="F32">
        <v>1737713.9999999998</v>
      </c>
    </row>
    <row r="33" spans="5:6">
      <c r="E33" t="s">
        <v>648</v>
      </c>
      <c r="F33">
        <v>623680.0199999999</v>
      </c>
    </row>
    <row r="34" spans="5:6">
      <c r="E34" t="s">
        <v>649</v>
      </c>
      <c r="F34">
        <v>1153375.92</v>
      </c>
    </row>
    <row r="35" spans="5:6">
      <c r="E35" t="s">
        <v>650</v>
      </c>
      <c r="F35">
        <v>257477.09</v>
      </c>
    </row>
    <row r="36" spans="5:6">
      <c r="E36" t="s">
        <v>651</v>
      </c>
      <c r="F36">
        <v>2096855.8900000006</v>
      </c>
    </row>
    <row r="37" spans="5:6">
      <c r="E37" t="s">
        <v>652</v>
      </c>
      <c r="F37">
        <v>748497.94000000006</v>
      </c>
    </row>
    <row r="38" spans="5:6">
      <c r="E38" t="s">
        <v>653</v>
      </c>
      <c r="F38">
        <v>4553422.0599999987</v>
      </c>
    </row>
    <row r="39" spans="5:6">
      <c r="E39" t="s">
        <v>654</v>
      </c>
      <c r="F39">
        <v>2871932.6600000011</v>
      </c>
    </row>
    <row r="40" spans="5:6">
      <c r="E40" t="s">
        <v>655</v>
      </c>
      <c r="F40">
        <v>1644311.2400000002</v>
      </c>
    </row>
    <row r="41" spans="5:6">
      <c r="E41" t="s">
        <v>656</v>
      </c>
      <c r="F41">
        <v>4188987.149999999</v>
      </c>
    </row>
    <row r="42" spans="5:6">
      <c r="E42" t="s">
        <v>657</v>
      </c>
      <c r="F42">
        <v>628629.24</v>
      </c>
    </row>
    <row r="43" spans="5:6">
      <c r="E43" t="s">
        <v>658</v>
      </c>
      <c r="F43">
        <v>1181935.7</v>
      </c>
    </row>
    <row r="44" spans="5:6">
      <c r="E44" t="s">
        <v>659</v>
      </c>
      <c r="F44">
        <v>1112821.0499999998</v>
      </c>
    </row>
    <row r="45" spans="5:6">
      <c r="E45" t="s">
        <v>660</v>
      </c>
      <c r="F45">
        <v>3011700.5100000007</v>
      </c>
    </row>
    <row r="46" spans="5:6">
      <c r="E46" t="s">
        <v>661</v>
      </c>
      <c r="F46">
        <v>209419.36000000004</v>
      </c>
    </row>
    <row r="47" spans="5:6">
      <c r="E47" t="s">
        <v>662</v>
      </c>
      <c r="F47">
        <v>2910224.439999999</v>
      </c>
    </row>
    <row r="48" spans="5:6">
      <c r="E48" t="s">
        <v>663</v>
      </c>
      <c r="F48">
        <v>6013567.9900000021</v>
      </c>
    </row>
    <row r="49" spans="5:6">
      <c r="E49" t="s">
        <v>664</v>
      </c>
      <c r="F49">
        <v>1935088.04</v>
      </c>
    </row>
    <row r="50" spans="5:6">
      <c r="E50" t="s">
        <v>665</v>
      </c>
      <c r="F50">
        <v>4880465.3000000017</v>
      </c>
    </row>
    <row r="51" spans="5:6">
      <c r="E51" t="s">
        <v>666</v>
      </c>
      <c r="F51">
        <v>72096.12</v>
      </c>
    </row>
    <row r="52" spans="5:6">
      <c r="E52" t="s">
        <v>667</v>
      </c>
      <c r="F52">
        <v>787450.09000000032</v>
      </c>
    </row>
    <row r="53" spans="5:6">
      <c r="E53" t="s">
        <v>668</v>
      </c>
      <c r="F53">
        <v>1080482.1599999999</v>
      </c>
    </row>
    <row r="54" spans="5:6">
      <c r="E54" t="s">
        <v>669</v>
      </c>
      <c r="F54">
        <v>7371921.0000000009</v>
      </c>
    </row>
    <row r="55" spans="5:6">
      <c r="E55" t="s">
        <v>670</v>
      </c>
      <c r="F55">
        <v>1371933.0900000005</v>
      </c>
    </row>
    <row r="56" spans="5:6">
      <c r="E56" t="s">
        <v>671</v>
      </c>
      <c r="F56">
        <v>720051.26000000013</v>
      </c>
    </row>
    <row r="57" spans="5:6">
      <c r="E57" t="s">
        <v>672</v>
      </c>
      <c r="F57">
        <v>894357.00999999989</v>
      </c>
    </row>
    <row r="58" spans="5:6">
      <c r="E58" t="s">
        <v>673</v>
      </c>
      <c r="F58">
        <v>308346.40999999997</v>
      </c>
    </row>
    <row r="59" spans="5:6">
      <c r="E59" t="s">
        <v>674</v>
      </c>
      <c r="F59">
        <v>1133304.3000000003</v>
      </c>
    </row>
    <row r="60" spans="5:6">
      <c r="E60" t="s">
        <v>675</v>
      </c>
      <c r="F60">
        <v>235886031.11000067</v>
      </c>
    </row>
    <row r="61" spans="5:6">
      <c r="E61" t="s">
        <v>676</v>
      </c>
      <c r="F61">
        <v>313790.78000000003</v>
      </c>
    </row>
    <row r="62" spans="5:6">
      <c r="E62" t="s">
        <v>677</v>
      </c>
      <c r="F62">
        <v>41969739.189999998</v>
      </c>
    </row>
    <row r="63" spans="5:6">
      <c r="E63" t="s">
        <v>678</v>
      </c>
      <c r="F63">
        <v>39780639.199999996</v>
      </c>
    </row>
    <row r="64" spans="5:6">
      <c r="E64" t="s">
        <v>679</v>
      </c>
      <c r="F64">
        <v>546836.25000000012</v>
      </c>
    </row>
    <row r="65" spans="5:6">
      <c r="E65" t="s">
        <v>680</v>
      </c>
      <c r="F65">
        <v>134395.06000000003</v>
      </c>
    </row>
    <row r="66" spans="5:6">
      <c r="E66" t="s">
        <v>681</v>
      </c>
      <c r="F66">
        <v>153362.38</v>
      </c>
    </row>
    <row r="67" spans="5:6">
      <c r="E67" t="s">
        <v>682</v>
      </c>
      <c r="F67">
        <v>511238491.13999999</v>
      </c>
    </row>
    <row r="68" spans="5:6">
      <c r="E68" t="s">
        <v>683</v>
      </c>
      <c r="F68">
        <v>1022476982.2800007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5DA-0DA3-4ED0-8DED-09019E7E6F47}">
  <sheetPr>
    <tabColor rgb="FF00B0F0"/>
  </sheetPr>
  <dimension ref="A1:J30"/>
  <sheetViews>
    <sheetView workbookViewId="0">
      <selection activeCell="A2" sqref="A2:A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10">
      <c r="A1" t="s">
        <v>212</v>
      </c>
      <c r="B1" t="s">
        <v>209</v>
      </c>
    </row>
    <row r="2" spans="1:10">
      <c r="A2" s="114" t="s">
        <v>322</v>
      </c>
      <c r="B2" s="1">
        <v>18906000</v>
      </c>
      <c r="J2" s="5"/>
    </row>
    <row r="3" spans="1:10">
      <c r="A3" s="114" t="s">
        <v>229</v>
      </c>
      <c r="B3" s="1">
        <v>170930093.75</v>
      </c>
      <c r="J3" s="5"/>
    </row>
    <row r="4" spans="1:10">
      <c r="A4" s="114" t="s">
        <v>167</v>
      </c>
      <c r="B4" s="1">
        <v>49276000</v>
      </c>
      <c r="J4" s="5"/>
    </row>
    <row r="5" spans="1:10">
      <c r="A5" s="114" t="s">
        <v>61</v>
      </c>
      <c r="B5" s="1">
        <v>26915000</v>
      </c>
      <c r="J5" s="5"/>
    </row>
    <row r="6" spans="1:10">
      <c r="A6" s="114" t="s">
        <v>230</v>
      </c>
      <c r="B6" s="1">
        <v>93086000</v>
      </c>
      <c r="J6" s="5"/>
    </row>
    <row r="7" spans="1:10">
      <c r="A7" s="114" t="s">
        <v>165</v>
      </c>
      <c r="B7" s="1">
        <v>62207000</v>
      </c>
      <c r="J7" s="5"/>
    </row>
    <row r="8" spans="1:10">
      <c r="A8" s="114" t="s">
        <v>120</v>
      </c>
      <c r="B8" s="1">
        <v>154632000</v>
      </c>
      <c r="J8" s="5"/>
    </row>
    <row r="9" spans="1:10">
      <c r="A9" s="114" t="s">
        <v>155</v>
      </c>
      <c r="B9" s="1">
        <v>27196000</v>
      </c>
      <c r="J9" s="5"/>
    </row>
    <row r="10" spans="1:10">
      <c r="A10" s="114" t="s">
        <v>187</v>
      </c>
      <c r="B10" s="1">
        <v>99533000</v>
      </c>
      <c r="J10" s="5"/>
    </row>
    <row r="11" spans="1:10">
      <c r="A11" s="114" t="s">
        <v>139</v>
      </c>
      <c r="B11" s="1">
        <v>45330000</v>
      </c>
      <c r="F11" s="23"/>
      <c r="J11" s="5"/>
    </row>
    <row r="12" spans="1:10">
      <c r="A12" s="114" t="s">
        <v>146</v>
      </c>
      <c r="B12" s="124">
        <v>2950000</v>
      </c>
      <c r="F12" s="23"/>
      <c r="J12" s="5"/>
    </row>
    <row r="13" spans="1:10">
      <c r="A13" s="67" t="s">
        <v>90</v>
      </c>
      <c r="B13" s="1">
        <v>43066000</v>
      </c>
      <c r="F13" s="23"/>
      <c r="J13" s="5"/>
    </row>
    <row r="14" spans="1:10">
      <c r="A14" s="67" t="s">
        <v>323</v>
      </c>
      <c r="B14" s="1">
        <v>10707000</v>
      </c>
      <c r="F14" s="27"/>
      <c r="J14" s="5"/>
    </row>
    <row r="15" spans="1:10">
      <c r="A15" s="67" t="s">
        <v>161</v>
      </c>
      <c r="B15" s="1">
        <v>2950000</v>
      </c>
      <c r="F15" s="27"/>
      <c r="J15" s="5"/>
    </row>
    <row r="16" spans="1:10">
      <c r="A16" s="67" t="s">
        <v>154</v>
      </c>
      <c r="B16" s="1">
        <v>3550000</v>
      </c>
      <c r="F16" s="27"/>
      <c r="J16" s="5"/>
    </row>
    <row r="17" spans="1:10">
      <c r="A17" s="67" t="s">
        <v>177</v>
      </c>
      <c r="B17" s="1">
        <v>37845898.4375</v>
      </c>
      <c r="F17" s="27"/>
      <c r="J17" s="5"/>
    </row>
    <row r="18" spans="1:10">
      <c r="A18" s="67" t="s">
        <v>142</v>
      </c>
      <c r="B18" s="1">
        <v>23066000</v>
      </c>
      <c r="F18" s="27"/>
      <c r="J18" s="5"/>
    </row>
    <row r="19" spans="1:10">
      <c r="A19" s="67" t="s">
        <v>136</v>
      </c>
      <c r="B19" s="1">
        <v>6633000</v>
      </c>
      <c r="F19" s="26"/>
      <c r="J19" s="5"/>
    </row>
    <row r="20" spans="1:10">
      <c r="A20" s="67" t="s">
        <v>168</v>
      </c>
      <c r="B20" s="1">
        <v>22816000</v>
      </c>
      <c r="F20" s="26"/>
      <c r="J20" s="5"/>
    </row>
    <row r="21" spans="1:10">
      <c r="A21" s="67" t="s">
        <v>184</v>
      </c>
      <c r="B21" s="1">
        <v>22045000</v>
      </c>
    </row>
    <row r="22" spans="1:10">
      <c r="A22" s="67" t="s">
        <v>171</v>
      </c>
      <c r="B22" s="1">
        <v>20081000</v>
      </c>
    </row>
    <row r="23" spans="1:10">
      <c r="A23" s="67" t="s">
        <v>89</v>
      </c>
      <c r="B23" s="1">
        <v>8437000</v>
      </c>
    </row>
    <row r="24" spans="1:10">
      <c r="A24" s="67" t="s">
        <v>159</v>
      </c>
      <c r="B24" s="1">
        <v>50600000</v>
      </c>
    </row>
    <row r="25" spans="1:10">
      <c r="A25" s="67" t="s">
        <v>176</v>
      </c>
      <c r="B25" s="1">
        <v>28714000</v>
      </c>
    </row>
    <row r="26" spans="1:10">
      <c r="A26" s="67" t="s">
        <v>119</v>
      </c>
      <c r="B26" s="1">
        <v>1868000</v>
      </c>
    </row>
    <row r="27" spans="1:10">
      <c r="A27" s="67" t="s">
        <v>183</v>
      </c>
      <c r="B27" s="1">
        <v>14191000</v>
      </c>
    </row>
    <row r="28" spans="1:10">
      <c r="A28" s="6" t="s">
        <v>239</v>
      </c>
      <c r="B28" s="7" t="s">
        <v>242</v>
      </c>
    </row>
    <row r="29" spans="1:10">
      <c r="B29" s="87" t="s">
        <v>243</v>
      </c>
    </row>
    <row r="30" spans="1:10">
      <c r="B30" t="s">
        <v>244</v>
      </c>
    </row>
  </sheetData>
  <hyperlinks>
    <hyperlink ref="B28" r:id="rId1" xr:uid="{B5A043DC-4299-4C78-8AE0-E1A7DDC5DD4E}"/>
    <hyperlink ref="B29" r:id="rId2" xr:uid="{6745DA46-186C-4E30-AD53-EAC0AA2EFCAE}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3330-8CCA-471F-9672-4996961A4C42}">
  <dimension ref="A1:E76"/>
  <sheetViews>
    <sheetView workbookViewId="0">
      <selection activeCell="E76" sqref="E76"/>
    </sheetView>
  </sheetViews>
  <sheetFormatPr baseColWidth="10" defaultColWidth="8.83203125" defaultRowHeight="15"/>
  <cols>
    <col min="1" max="1" width="18.33203125" bestFit="1" customWidth="1"/>
    <col min="2" max="2" width="27.83203125" style="1" bestFit="1" customWidth="1"/>
  </cols>
  <sheetData>
    <row r="1" spans="1:2">
      <c r="A1" t="s">
        <v>245</v>
      </c>
      <c r="B1" s="1" t="s">
        <v>246</v>
      </c>
    </row>
    <row r="2" spans="1:2">
      <c r="A2" t="s">
        <v>102</v>
      </c>
      <c r="B2" s="1">
        <v>2865000</v>
      </c>
    </row>
    <row r="3" spans="1:2">
      <c r="A3" t="s">
        <v>147</v>
      </c>
      <c r="B3" s="1">
        <v>5142000</v>
      </c>
    </row>
    <row r="4" spans="1:2">
      <c r="A4" t="s">
        <v>119</v>
      </c>
      <c r="B4" s="1">
        <v>1139000</v>
      </c>
    </row>
    <row r="5" spans="1:2">
      <c r="A5" t="s">
        <v>172</v>
      </c>
      <c r="B5" s="1">
        <v>11871000</v>
      </c>
    </row>
    <row r="6" spans="1:2">
      <c r="A6" t="s">
        <v>105</v>
      </c>
      <c r="B6" s="1">
        <v>1345000</v>
      </c>
    </row>
    <row r="7" spans="1:2">
      <c r="A7" t="s">
        <v>126</v>
      </c>
      <c r="B7" s="1">
        <v>344000</v>
      </c>
    </row>
    <row r="8" spans="1:2">
      <c r="A8" t="s">
        <v>183</v>
      </c>
      <c r="B8" s="1">
        <v>16005000</v>
      </c>
    </row>
    <row r="9" spans="1:2">
      <c r="A9" t="s">
        <v>75</v>
      </c>
      <c r="B9" s="1">
        <v>821000</v>
      </c>
    </row>
    <row r="10" spans="1:2">
      <c r="A10" t="s">
        <v>125</v>
      </c>
      <c r="B10" s="1">
        <v>5664000</v>
      </c>
    </row>
    <row r="11" spans="1:2">
      <c r="A11" t="s">
        <v>47</v>
      </c>
      <c r="B11" s="1">
        <v>970000</v>
      </c>
    </row>
    <row r="12" spans="1:2">
      <c r="A12" t="s">
        <v>177</v>
      </c>
      <c r="B12" s="1">
        <v>21400000</v>
      </c>
    </row>
    <row r="13" spans="1:2">
      <c r="A13" t="s">
        <v>151</v>
      </c>
      <c r="B13" s="1">
        <v>2155000</v>
      </c>
    </row>
    <row r="14" spans="1:2">
      <c r="A14" t="s">
        <v>104</v>
      </c>
      <c r="B14" s="1">
        <v>4931000</v>
      </c>
    </row>
    <row r="15" spans="1:2">
      <c r="A15" t="s">
        <v>247</v>
      </c>
      <c r="B15" s="1">
        <v>9000</v>
      </c>
    </row>
    <row r="16" spans="1:2">
      <c r="A16" t="s">
        <v>131</v>
      </c>
      <c r="B16" s="1">
        <v>934000</v>
      </c>
    </row>
    <row r="17" spans="1:2">
      <c r="A17" t="s">
        <v>156</v>
      </c>
      <c r="B17" s="1">
        <v>1351000</v>
      </c>
    </row>
    <row r="18" spans="1:2">
      <c r="A18" t="s">
        <v>110</v>
      </c>
      <c r="B18" s="1">
        <v>732000</v>
      </c>
    </row>
    <row r="19" spans="1:2">
      <c r="A19" t="s">
        <v>248</v>
      </c>
      <c r="B19" s="1">
        <v>5254000</v>
      </c>
    </row>
    <row r="20" spans="1:2">
      <c r="A20" t="s">
        <v>190</v>
      </c>
      <c r="B20" s="1">
        <v>6043000</v>
      </c>
    </row>
    <row r="21" spans="1:2">
      <c r="A21" t="s">
        <v>113</v>
      </c>
      <c r="B21" s="1">
        <v>780000</v>
      </c>
    </row>
    <row r="22" spans="1:2">
      <c r="A22" t="s">
        <v>112</v>
      </c>
      <c r="B22" s="1">
        <v>1338000</v>
      </c>
    </row>
    <row r="23" spans="1:2">
      <c r="A23" t="s">
        <v>68</v>
      </c>
      <c r="B23" s="1">
        <v>1270000</v>
      </c>
    </row>
    <row r="24" spans="1:2">
      <c r="A24" t="s">
        <v>164</v>
      </c>
      <c r="B24" s="1">
        <v>1090000</v>
      </c>
    </row>
    <row r="25" spans="1:2">
      <c r="A25" t="s">
        <v>52</v>
      </c>
      <c r="B25" s="1">
        <v>711000</v>
      </c>
    </row>
    <row r="26" spans="1:2">
      <c r="A26" t="s">
        <v>91</v>
      </c>
      <c r="B26" s="1">
        <v>109000</v>
      </c>
    </row>
    <row r="27" spans="1:2">
      <c r="A27" t="s">
        <v>182</v>
      </c>
      <c r="B27" s="1">
        <v>6180000</v>
      </c>
    </row>
    <row r="28" spans="1:2">
      <c r="A28" t="s">
        <v>167</v>
      </c>
      <c r="B28" s="1">
        <v>28085000</v>
      </c>
    </row>
    <row r="29" spans="1:2">
      <c r="A29" t="s">
        <v>187</v>
      </c>
      <c r="B29" s="1">
        <v>86623000</v>
      </c>
    </row>
    <row r="30" spans="1:2">
      <c r="A30" t="s">
        <v>162</v>
      </c>
      <c r="B30" s="1">
        <v>5094000</v>
      </c>
    </row>
    <row r="31" spans="1:2">
      <c r="A31" t="s">
        <v>59</v>
      </c>
      <c r="B31" s="1">
        <v>1184900</v>
      </c>
    </row>
    <row r="32" spans="1:2">
      <c r="A32" t="s">
        <v>148</v>
      </c>
      <c r="B32" s="1">
        <v>7167000</v>
      </c>
    </row>
    <row r="33" spans="1:2">
      <c r="A33" t="s">
        <v>83</v>
      </c>
      <c r="B33" s="1">
        <v>3379000</v>
      </c>
    </row>
    <row r="34" spans="1:2">
      <c r="A34" t="s">
        <v>170</v>
      </c>
      <c r="B34" s="1">
        <v>8432000</v>
      </c>
    </row>
    <row r="35" spans="1:2">
      <c r="A35" t="s">
        <v>165</v>
      </c>
      <c r="B35" s="1">
        <v>24970000</v>
      </c>
    </row>
    <row r="36" spans="1:2">
      <c r="A36" t="s">
        <v>96</v>
      </c>
      <c r="B36" s="1">
        <v>1399000</v>
      </c>
    </row>
    <row r="37" spans="1:2">
      <c r="A37" t="s">
        <v>158</v>
      </c>
      <c r="B37" s="1">
        <v>1303000</v>
      </c>
    </row>
    <row r="38" spans="1:2">
      <c r="A38" t="s">
        <v>157</v>
      </c>
      <c r="B38" s="1">
        <v>1919000</v>
      </c>
    </row>
    <row r="39" spans="1:2">
      <c r="A39" t="s">
        <v>174</v>
      </c>
      <c r="B39" s="1">
        <v>2819000</v>
      </c>
    </row>
    <row r="40" spans="1:2">
      <c r="A40" t="s">
        <v>169</v>
      </c>
      <c r="B40" s="1">
        <v>601700</v>
      </c>
    </row>
    <row r="41" spans="1:2">
      <c r="A41" t="s">
        <v>123</v>
      </c>
      <c r="B41" s="1">
        <v>229300</v>
      </c>
    </row>
    <row r="42" spans="1:2">
      <c r="A42" t="s">
        <v>118</v>
      </c>
      <c r="B42" s="1">
        <v>13750000</v>
      </c>
    </row>
    <row r="43" spans="1:2">
      <c r="A43" t="s">
        <v>109</v>
      </c>
      <c r="B43" s="1">
        <v>317200</v>
      </c>
    </row>
    <row r="44" spans="1:2">
      <c r="A44" t="s">
        <v>74</v>
      </c>
      <c r="B44" s="1">
        <v>2020000</v>
      </c>
    </row>
    <row r="45" spans="1:2">
      <c r="A45" t="s">
        <v>184</v>
      </c>
      <c r="B45" s="1">
        <v>23146000</v>
      </c>
    </row>
    <row r="46" spans="1:2">
      <c r="A46" t="s">
        <v>249</v>
      </c>
      <c r="B46" s="1">
        <v>159000</v>
      </c>
    </row>
    <row r="47" spans="1:2">
      <c r="A47" t="s">
        <v>179</v>
      </c>
      <c r="B47" s="1">
        <v>1629000</v>
      </c>
    </row>
    <row r="48" spans="1:2">
      <c r="A48" t="s">
        <v>65</v>
      </c>
      <c r="B48" s="1">
        <v>699000</v>
      </c>
    </row>
    <row r="49" spans="1:2">
      <c r="A49" t="s">
        <v>193</v>
      </c>
      <c r="B49" s="1">
        <v>7040000</v>
      </c>
    </row>
    <row r="50" spans="1:2">
      <c r="A50" t="s">
        <v>136</v>
      </c>
      <c r="B50" s="1">
        <v>3318200</v>
      </c>
    </row>
    <row r="51" spans="1:2">
      <c r="A51" t="s">
        <v>137</v>
      </c>
      <c r="B51" s="1">
        <v>851000</v>
      </c>
    </row>
    <row r="52" spans="1:2">
      <c r="A52" t="s">
        <v>92</v>
      </c>
      <c r="B52" s="1">
        <v>988000</v>
      </c>
    </row>
    <row r="53" spans="1:2">
      <c r="A53" t="s">
        <v>107</v>
      </c>
      <c r="B53" s="1">
        <v>2118500</v>
      </c>
    </row>
    <row r="54" spans="1:2">
      <c r="A54" t="s">
        <v>159</v>
      </c>
      <c r="B54" s="1">
        <v>11742000</v>
      </c>
    </row>
    <row r="55" spans="1:2">
      <c r="A55" t="s">
        <v>153</v>
      </c>
      <c r="B55" s="1">
        <v>2657000</v>
      </c>
    </row>
    <row r="56" spans="1:2">
      <c r="A56" t="s">
        <v>250</v>
      </c>
      <c r="B56" s="1">
        <v>1086000</v>
      </c>
    </row>
    <row r="57" spans="1:2">
      <c r="A57" t="s">
        <v>79</v>
      </c>
      <c r="B57" s="1">
        <v>25000</v>
      </c>
    </row>
    <row r="58" spans="1:2">
      <c r="A58" t="s">
        <v>155</v>
      </c>
      <c r="B58" s="1">
        <v>16882000</v>
      </c>
    </row>
    <row r="59" spans="1:2">
      <c r="A59" t="s">
        <v>127</v>
      </c>
      <c r="B59" s="1">
        <v>51000</v>
      </c>
    </row>
    <row r="60" spans="1:2">
      <c r="A60" t="s">
        <v>186</v>
      </c>
      <c r="B60" s="1">
        <v>5154000</v>
      </c>
    </row>
    <row r="61" spans="1:2">
      <c r="A61" t="s">
        <v>173</v>
      </c>
      <c r="B61" s="1">
        <v>3161000</v>
      </c>
    </row>
    <row r="62" spans="1:2">
      <c r="A62" t="s">
        <v>168</v>
      </c>
      <c r="B62" s="1">
        <v>15755000</v>
      </c>
    </row>
    <row r="63" spans="1:2">
      <c r="A63" t="s">
        <v>116</v>
      </c>
      <c r="B63" s="1">
        <v>1127500</v>
      </c>
    </row>
    <row r="64" spans="1:2">
      <c r="A64" t="s">
        <v>194</v>
      </c>
      <c r="B64" s="1">
        <v>11275100</v>
      </c>
    </row>
    <row r="65" spans="1:5">
      <c r="A65" t="s">
        <v>94</v>
      </c>
      <c r="B65" s="1">
        <v>3314000</v>
      </c>
    </row>
    <row r="66" spans="1:5">
      <c r="A66" t="s">
        <v>149</v>
      </c>
      <c r="B66" s="1">
        <v>7267000</v>
      </c>
    </row>
    <row r="67" spans="1:5">
      <c r="A67" t="s">
        <v>63</v>
      </c>
      <c r="B67" s="1">
        <v>1400</v>
      </c>
    </row>
    <row r="68" spans="1:5">
      <c r="A68" t="s">
        <v>36</v>
      </c>
      <c r="B68" s="1">
        <v>397000</v>
      </c>
    </row>
    <row r="69" spans="1:5">
      <c r="A69" t="s">
        <v>95</v>
      </c>
      <c r="B69" s="1">
        <v>15184000</v>
      </c>
    </row>
    <row r="70" spans="1:5">
      <c r="A70" t="s">
        <v>55</v>
      </c>
      <c r="B70" s="1">
        <v>18200</v>
      </c>
    </row>
    <row r="71" spans="1:5">
      <c r="A71" t="s">
        <v>35</v>
      </c>
      <c r="B71" s="1">
        <v>1610000</v>
      </c>
    </row>
    <row r="72" spans="1:5">
      <c r="A72" t="s">
        <v>192</v>
      </c>
      <c r="B72" s="1">
        <v>219000</v>
      </c>
      <c r="D72">
        <v>2021</v>
      </c>
    </row>
    <row r="73" spans="1:5">
      <c r="A73" t="s">
        <v>189</v>
      </c>
      <c r="B73" s="1">
        <v>5767000</v>
      </c>
      <c r="D73">
        <v>2021</v>
      </c>
    </row>
    <row r="74" spans="1:5">
      <c r="A74" t="s">
        <v>175</v>
      </c>
      <c r="B74" s="1">
        <v>80730000</v>
      </c>
      <c r="D74">
        <v>2022</v>
      </c>
    </row>
    <row r="75" spans="1:5">
      <c r="A75" t="s">
        <v>180</v>
      </c>
      <c r="B75" s="1">
        <v>71000000</v>
      </c>
      <c r="D75">
        <v>2022</v>
      </c>
      <c r="E75" s="1" t="s">
        <v>243</v>
      </c>
    </row>
    <row r="76" spans="1:5">
      <c r="A76" t="s">
        <v>185</v>
      </c>
      <c r="B76" s="1">
        <v>9000000</v>
      </c>
      <c r="D76">
        <v>2022</v>
      </c>
      <c r="E76" t="s">
        <v>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D2E-A109-4E14-9341-59B05CDE078B}">
  <sheetPr>
    <tabColor rgb="FF00B0F0"/>
  </sheetPr>
  <dimension ref="A1:H31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8">
      <c r="A1" t="s">
        <v>212</v>
      </c>
      <c r="B1" t="s">
        <v>251</v>
      </c>
    </row>
    <row r="2" spans="1:8">
      <c r="A2" s="120" t="s">
        <v>119</v>
      </c>
      <c r="B2" s="120">
        <v>1.08</v>
      </c>
      <c r="H2" s="5"/>
    </row>
    <row r="3" spans="1:8">
      <c r="A3" s="120" t="s">
        <v>161</v>
      </c>
      <c r="B3" s="120">
        <v>7</v>
      </c>
      <c r="H3" s="5"/>
    </row>
    <row r="4" spans="1:8">
      <c r="A4" s="120" t="s">
        <v>183</v>
      </c>
      <c r="B4" s="120">
        <v>13.11</v>
      </c>
      <c r="H4" s="5"/>
    </row>
    <row r="5" spans="1:8">
      <c r="A5" s="120" t="s">
        <v>177</v>
      </c>
      <c r="B5" s="120">
        <v>12.63</v>
      </c>
      <c r="H5" s="5"/>
    </row>
    <row r="6" spans="1:8">
      <c r="A6" s="120" t="s">
        <v>120</v>
      </c>
      <c r="B6" s="120">
        <v>2.0499999999999998</v>
      </c>
      <c r="H6" s="5"/>
    </row>
    <row r="7" spans="1:8">
      <c r="A7" s="120" t="s">
        <v>90</v>
      </c>
      <c r="B7" s="120">
        <v>0.73</v>
      </c>
      <c r="H7" s="5"/>
    </row>
    <row r="8" spans="1:8">
      <c r="A8" s="120" t="s">
        <v>167</v>
      </c>
      <c r="B8" s="120">
        <v>12.96</v>
      </c>
      <c r="H8" s="5"/>
    </row>
    <row r="9" spans="1:8">
      <c r="A9" s="120" t="s">
        <v>187</v>
      </c>
      <c r="B9" s="120">
        <v>13.85</v>
      </c>
      <c r="H9" s="5"/>
    </row>
    <row r="10" spans="1:8">
      <c r="A10" s="120" t="s">
        <v>61</v>
      </c>
      <c r="B10" s="120">
        <v>0.6</v>
      </c>
      <c r="H10" s="5"/>
    </row>
    <row r="11" spans="1:8">
      <c r="A11" s="120" t="s">
        <v>165</v>
      </c>
      <c r="B11" s="120">
        <v>10</v>
      </c>
      <c r="H11" s="5"/>
    </row>
    <row r="12" spans="1:8">
      <c r="A12" s="120" t="s">
        <v>171</v>
      </c>
      <c r="B12" s="120">
        <v>6.69</v>
      </c>
      <c r="H12" s="5"/>
    </row>
    <row r="13" spans="1:8">
      <c r="A13" s="128" t="s">
        <v>323</v>
      </c>
      <c r="B13" s="120">
        <v>1.0900000000000001</v>
      </c>
      <c r="H13" s="5"/>
    </row>
    <row r="14" spans="1:8">
      <c r="A14" s="120" t="s">
        <v>146</v>
      </c>
      <c r="B14" s="120">
        <v>1.41</v>
      </c>
      <c r="H14" s="5"/>
    </row>
    <row r="15" spans="1:8">
      <c r="A15" s="120" t="s">
        <v>184</v>
      </c>
      <c r="B15" s="120">
        <v>12.47</v>
      </c>
      <c r="H15" s="5"/>
    </row>
    <row r="16" spans="1:8">
      <c r="A16" s="120" t="s">
        <v>136</v>
      </c>
      <c r="B16" s="120">
        <v>4.88</v>
      </c>
      <c r="H16" s="5"/>
    </row>
    <row r="17" spans="1:8">
      <c r="A17" s="120" t="s">
        <v>159</v>
      </c>
      <c r="B17" s="120">
        <v>6.21</v>
      </c>
      <c r="H17" s="5"/>
    </row>
    <row r="18" spans="1:8">
      <c r="A18" s="120" t="s">
        <v>154</v>
      </c>
      <c r="B18" s="120">
        <v>1.59</v>
      </c>
      <c r="H18" s="5"/>
    </row>
    <row r="19" spans="1:8">
      <c r="A19" s="120" t="s">
        <v>142</v>
      </c>
      <c r="B19" s="120">
        <v>4.1399999999999997</v>
      </c>
      <c r="H19" s="5"/>
    </row>
    <row r="20" spans="1:8">
      <c r="A20" s="120" t="s">
        <v>139</v>
      </c>
      <c r="B20" s="120">
        <v>1.23</v>
      </c>
      <c r="H20" s="5"/>
    </row>
    <row r="21" spans="1:8">
      <c r="A21" s="120" t="s">
        <v>155</v>
      </c>
      <c r="B21" s="120">
        <v>6.16</v>
      </c>
    </row>
    <row r="22" spans="1:8">
      <c r="A22" s="120" t="s">
        <v>176</v>
      </c>
      <c r="B22" s="120">
        <v>7.3</v>
      </c>
    </row>
    <row r="23" spans="1:8">
      <c r="A23" s="120" t="s">
        <v>168</v>
      </c>
      <c r="B23" s="120">
        <v>8.24</v>
      </c>
    </row>
    <row r="24" spans="1:8">
      <c r="A24" s="120" t="s">
        <v>322</v>
      </c>
      <c r="B24" s="120">
        <v>6</v>
      </c>
    </row>
    <row r="25" spans="1:8">
      <c r="A25" s="120" t="s">
        <v>230</v>
      </c>
      <c r="B25" s="120">
        <v>14.3</v>
      </c>
    </row>
    <row r="26" spans="1:8">
      <c r="A26" s="120" t="s">
        <v>229</v>
      </c>
      <c r="B26" s="120">
        <v>7.25</v>
      </c>
    </row>
    <row r="27" spans="1:8">
      <c r="A27" s="120" t="s">
        <v>89</v>
      </c>
      <c r="B27" s="120">
        <v>0.48</v>
      </c>
    </row>
    <row r="28" spans="1:8">
      <c r="A28" s="6" t="s">
        <v>239</v>
      </c>
      <c r="B28" t="s">
        <v>252</v>
      </c>
    </row>
    <row r="29" spans="1:8">
      <c r="B29" t="s">
        <v>253</v>
      </c>
    </row>
    <row r="30" spans="1:8">
      <c r="B30" t="s">
        <v>254</v>
      </c>
    </row>
    <row r="31" spans="1:8">
      <c r="B31" t="s">
        <v>255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746-4B9F-4216-BAC3-2B2F40B36E63}">
  <dimension ref="A1:B32"/>
  <sheetViews>
    <sheetView workbookViewId="0">
      <selection activeCell="A13" sqref="A13"/>
    </sheetView>
  </sheetViews>
  <sheetFormatPr baseColWidth="10" defaultColWidth="8.83203125" defaultRowHeight="15"/>
  <cols>
    <col min="1" max="1" width="14.5" bestFit="1" customWidth="1"/>
  </cols>
  <sheetData>
    <row r="1" spans="1:2">
      <c r="A1" t="s">
        <v>0</v>
      </c>
      <c r="B1" t="s">
        <v>251</v>
      </c>
    </row>
    <row r="2" spans="1:2">
      <c r="A2" t="s">
        <v>174</v>
      </c>
      <c r="B2">
        <v>13.8</v>
      </c>
    </row>
    <row r="3" spans="1:2">
      <c r="A3" t="s">
        <v>185</v>
      </c>
      <c r="B3">
        <v>12.1</v>
      </c>
    </row>
    <row r="4" spans="1:2">
      <c r="A4" t="s">
        <v>167</v>
      </c>
      <c r="B4">
        <v>11.7</v>
      </c>
    </row>
    <row r="5" spans="1:2">
      <c r="A5" t="s">
        <v>179</v>
      </c>
      <c r="B5">
        <v>11.2</v>
      </c>
    </row>
    <row r="6" spans="1:2">
      <c r="A6" t="s">
        <v>187</v>
      </c>
      <c r="B6">
        <v>10.9</v>
      </c>
    </row>
    <row r="7" spans="1:2">
      <c r="A7" t="s">
        <v>184</v>
      </c>
      <c r="B7">
        <v>10.4</v>
      </c>
    </row>
    <row r="8" spans="1:2">
      <c r="A8" t="s">
        <v>183</v>
      </c>
      <c r="B8">
        <v>10.4</v>
      </c>
    </row>
    <row r="9" spans="1:2">
      <c r="A9" t="s">
        <v>180</v>
      </c>
      <c r="B9">
        <v>10.3</v>
      </c>
    </row>
    <row r="10" spans="1:2">
      <c r="A10" t="s">
        <v>188</v>
      </c>
      <c r="B10">
        <v>9.6</v>
      </c>
    </row>
    <row r="11" spans="1:2">
      <c r="A11" t="s">
        <v>177</v>
      </c>
      <c r="B11">
        <v>9.5</v>
      </c>
    </row>
    <row r="12" spans="1:2">
      <c r="A12" t="s">
        <v>170</v>
      </c>
      <c r="B12">
        <v>7.9</v>
      </c>
    </row>
    <row r="13" spans="1:2">
      <c r="A13" t="s">
        <v>175</v>
      </c>
      <c r="B13">
        <v>7.3</v>
      </c>
    </row>
    <row r="14" spans="1:2">
      <c r="A14" t="s">
        <v>176</v>
      </c>
      <c r="B14">
        <v>6.8</v>
      </c>
    </row>
    <row r="15" spans="1:2">
      <c r="A15" t="s">
        <v>168</v>
      </c>
      <c r="B15">
        <v>5.8</v>
      </c>
    </row>
    <row r="16" spans="1:2">
      <c r="A16" t="s">
        <v>153</v>
      </c>
      <c r="B16">
        <v>5.8</v>
      </c>
    </row>
    <row r="17" spans="1:2">
      <c r="A17" t="s">
        <v>173</v>
      </c>
      <c r="B17">
        <v>5.7</v>
      </c>
    </row>
    <row r="18" spans="1:2">
      <c r="A18" t="s">
        <v>163</v>
      </c>
      <c r="B18">
        <v>5.2</v>
      </c>
    </row>
    <row r="19" spans="1:2">
      <c r="A19" t="s">
        <v>162</v>
      </c>
      <c r="B19">
        <v>5</v>
      </c>
    </row>
    <row r="20" spans="1:2">
      <c r="A20" t="s">
        <v>157</v>
      </c>
      <c r="B20">
        <v>4.8</v>
      </c>
    </row>
    <row r="21" spans="1:2">
      <c r="A21" t="s">
        <v>158</v>
      </c>
      <c r="B21">
        <v>4.3</v>
      </c>
    </row>
    <row r="22" spans="1:2">
      <c r="A22" t="s">
        <v>150</v>
      </c>
      <c r="B22">
        <v>3.4</v>
      </c>
    </row>
    <row r="23" spans="1:2">
      <c r="A23" t="s">
        <v>164</v>
      </c>
      <c r="B23">
        <v>3.4</v>
      </c>
    </row>
    <row r="24" spans="1:2">
      <c r="A24" t="s">
        <v>131</v>
      </c>
      <c r="B24">
        <v>3.4</v>
      </c>
    </row>
    <row r="25" spans="1:2">
      <c r="A25" t="s">
        <v>159</v>
      </c>
      <c r="B25">
        <v>3.4</v>
      </c>
    </row>
    <row r="26" spans="1:2">
      <c r="A26" t="s">
        <v>148</v>
      </c>
      <c r="B26">
        <v>2.9</v>
      </c>
    </row>
    <row r="27" spans="1:2">
      <c r="A27" t="s">
        <v>104</v>
      </c>
      <c r="B27">
        <v>2.7</v>
      </c>
    </row>
    <row r="28" spans="1:2">
      <c r="A28" t="s">
        <v>139</v>
      </c>
      <c r="B28">
        <v>2.2999999999999998</v>
      </c>
    </row>
    <row r="29" spans="1:2">
      <c r="A29" t="s">
        <v>151</v>
      </c>
      <c r="B29">
        <v>2.2999999999999998</v>
      </c>
    </row>
    <row r="30" spans="1:2">
      <c r="A30" t="s">
        <v>106</v>
      </c>
      <c r="B30">
        <v>2.2000000000000002</v>
      </c>
    </row>
    <row r="31" spans="1:2">
      <c r="A31" t="s">
        <v>149</v>
      </c>
      <c r="B31">
        <v>1.9</v>
      </c>
    </row>
    <row r="32" spans="1:2">
      <c r="A32" t="s">
        <v>118</v>
      </c>
      <c r="B32">
        <v>1.1000000000000001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5CBF-8FBD-407D-80EF-108BC4E911C6}">
  <sheetPr>
    <tabColor rgb="FF00B0F0"/>
  </sheetPr>
  <dimension ref="A1:G28"/>
  <sheetViews>
    <sheetView workbookViewId="0">
      <selection activeCell="B27" sqref="B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7">
      <c r="A1" t="s">
        <v>212</v>
      </c>
      <c r="B1" t="s">
        <v>256</v>
      </c>
    </row>
    <row r="2" spans="1:7">
      <c r="A2" s="114" t="s">
        <v>322</v>
      </c>
      <c r="B2" s="121">
        <v>116500</v>
      </c>
      <c r="G2" s="5"/>
    </row>
    <row r="3" spans="1:7">
      <c r="A3" s="114" t="s">
        <v>229</v>
      </c>
      <c r="B3" s="121">
        <v>24480000</v>
      </c>
      <c r="G3" s="5"/>
    </row>
    <row r="4" spans="1:7">
      <c r="A4" s="114" t="s">
        <v>167</v>
      </c>
      <c r="B4" s="121">
        <v>2796000</v>
      </c>
      <c r="G4" s="5"/>
    </row>
    <row r="5" spans="1:7">
      <c r="A5" s="114" t="s">
        <v>61</v>
      </c>
      <c r="B5" s="121">
        <v>796000</v>
      </c>
      <c r="G5" s="5"/>
    </row>
    <row r="6" spans="1:7">
      <c r="A6" s="114" t="s">
        <v>230</v>
      </c>
      <c r="B6" s="121">
        <v>2849000</v>
      </c>
      <c r="G6" s="5"/>
    </row>
    <row r="7" spans="1:7">
      <c r="A7" s="114" t="s">
        <v>165</v>
      </c>
      <c r="B7" s="121">
        <v>1413000</v>
      </c>
      <c r="G7" s="5"/>
    </row>
    <row r="8" spans="1:7">
      <c r="A8" s="114" t="s">
        <v>120</v>
      </c>
      <c r="B8" s="121">
        <v>6190000</v>
      </c>
      <c r="G8" s="5"/>
    </row>
    <row r="9" spans="1:7">
      <c r="A9" s="114" t="s">
        <v>155</v>
      </c>
      <c r="B9" s="121">
        <v>313000</v>
      </c>
      <c r="G9" s="5"/>
    </row>
    <row r="10" spans="1:7">
      <c r="A10" s="114" t="s">
        <v>187</v>
      </c>
      <c r="B10" s="121">
        <v>2683000</v>
      </c>
      <c r="G10" s="5"/>
    </row>
    <row r="11" spans="1:7">
      <c r="A11" s="114" t="s">
        <v>139</v>
      </c>
      <c r="B11" s="121">
        <v>353000</v>
      </c>
      <c r="G11" s="5"/>
    </row>
    <row r="12" spans="1:7">
      <c r="A12" s="114" t="s">
        <v>146</v>
      </c>
      <c r="B12" s="121">
        <v>217000</v>
      </c>
      <c r="G12" s="5"/>
    </row>
    <row r="13" spans="1:7">
      <c r="A13" s="67" t="s">
        <v>90</v>
      </c>
      <c r="B13" s="121">
        <v>87000</v>
      </c>
      <c r="G13" s="5"/>
    </row>
    <row r="14" spans="1:7">
      <c r="A14" s="67" t="s">
        <v>323</v>
      </c>
      <c r="B14" s="121">
        <v>44307</v>
      </c>
      <c r="G14" s="5"/>
    </row>
    <row r="15" spans="1:7">
      <c r="A15" s="67" t="s">
        <v>161</v>
      </c>
      <c r="B15" s="121">
        <v>25000</v>
      </c>
      <c r="G15" s="5"/>
    </row>
    <row r="16" spans="1:7">
      <c r="A16" s="67" t="s">
        <v>154</v>
      </c>
      <c r="B16" s="121">
        <v>36000</v>
      </c>
      <c r="G16" s="5"/>
    </row>
    <row r="17" spans="1:7">
      <c r="A17" s="67" t="s">
        <v>177</v>
      </c>
      <c r="B17" s="121">
        <v>2291000</v>
      </c>
      <c r="G17" s="5"/>
    </row>
    <row r="18" spans="1:7">
      <c r="A18" s="67" t="s">
        <v>142</v>
      </c>
      <c r="B18" s="121">
        <v>37000</v>
      </c>
      <c r="G18" s="5"/>
    </row>
    <row r="19" spans="1:7">
      <c r="A19" s="67" t="s">
        <v>136</v>
      </c>
      <c r="B19" s="121">
        <v>30000</v>
      </c>
      <c r="G19" s="5"/>
    </row>
    <row r="20" spans="1:7">
      <c r="A20" s="67" t="s">
        <v>168</v>
      </c>
      <c r="B20" s="121">
        <v>1132000</v>
      </c>
      <c r="G20" s="5"/>
    </row>
    <row r="21" spans="1:7">
      <c r="A21" s="67" t="s">
        <v>184</v>
      </c>
      <c r="B21" s="121">
        <v>1149000</v>
      </c>
    </row>
    <row r="22" spans="1:7">
      <c r="A22" s="67" t="s">
        <v>171</v>
      </c>
      <c r="B22" s="121">
        <v>3366000</v>
      </c>
    </row>
    <row r="23" spans="1:7">
      <c r="A23" s="67" t="s">
        <v>89</v>
      </c>
      <c r="B23" s="121">
        <v>8000</v>
      </c>
    </row>
    <row r="24" spans="1:7">
      <c r="A24" s="67" t="s">
        <v>159</v>
      </c>
      <c r="B24" s="121">
        <v>100000</v>
      </c>
    </row>
    <row r="25" spans="1:7">
      <c r="A25" s="67" t="s">
        <v>176</v>
      </c>
      <c r="B25" s="121">
        <v>1290000</v>
      </c>
    </row>
    <row r="26" spans="1:7">
      <c r="A26" s="67" t="s">
        <v>119</v>
      </c>
      <c r="B26" s="121">
        <v>4000</v>
      </c>
    </row>
    <row r="27" spans="1:7">
      <c r="A27" s="67" t="s">
        <v>183</v>
      </c>
      <c r="B27" s="121">
        <v>589000</v>
      </c>
    </row>
    <row r="28" spans="1:7">
      <c r="A28" s="6" t="s">
        <v>239</v>
      </c>
      <c r="B28" s="7" t="s">
        <v>257</v>
      </c>
    </row>
  </sheetData>
  <hyperlinks>
    <hyperlink ref="B28" r:id="rId1" xr:uid="{C39499D9-CDFD-FC46-ACC1-093313FA783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368-46AC-4CE3-BCE2-6CD0B301138F}">
  <sheetPr>
    <tabColor rgb="FF00B0F0"/>
  </sheetPr>
  <dimension ref="A1:B192"/>
  <sheetViews>
    <sheetView workbookViewId="0">
      <selection activeCell="A16" sqref="A16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212</v>
      </c>
      <c r="B1" t="s">
        <v>258</v>
      </c>
    </row>
    <row r="2" spans="1:2">
      <c r="A2" s="120" t="s">
        <v>119</v>
      </c>
      <c r="B2" s="123">
        <v>3.1E-2</v>
      </c>
    </row>
    <row r="3" spans="1:2">
      <c r="A3" s="120" t="s">
        <v>161</v>
      </c>
      <c r="B3" s="123">
        <v>2.1000000000000001E-2</v>
      </c>
    </row>
    <row r="4" spans="1:2">
      <c r="A4" s="120" t="s">
        <v>183</v>
      </c>
      <c r="B4" s="123">
        <v>3.4000000000000002E-2</v>
      </c>
    </row>
    <row r="5" spans="1:2">
      <c r="A5" s="120" t="s">
        <v>177</v>
      </c>
      <c r="B5" s="123">
        <v>2.9000000000000001E-2</v>
      </c>
    </row>
    <row r="6" spans="1:2">
      <c r="A6" s="120" t="s">
        <v>120</v>
      </c>
      <c r="B6" s="123">
        <v>0.01</v>
      </c>
    </row>
    <row r="7" spans="1:2">
      <c r="A7" s="120" t="s">
        <v>90</v>
      </c>
      <c r="B7" s="123">
        <v>0.28199999999999997</v>
      </c>
    </row>
    <row r="8" spans="1:2">
      <c r="A8" s="120" t="s">
        <v>167</v>
      </c>
      <c r="B8" s="123">
        <v>2.8000000000000001E-2</v>
      </c>
    </row>
    <row r="9" spans="1:2">
      <c r="A9" s="120" t="s">
        <v>187</v>
      </c>
      <c r="B9" s="123">
        <v>2.5999999999999999E-2</v>
      </c>
    </row>
    <row r="10" spans="1:2">
      <c r="A10" s="120" t="s">
        <v>61</v>
      </c>
      <c r="B10" s="123">
        <v>4.5999999999999999E-2</v>
      </c>
    </row>
    <row r="11" spans="1:2">
      <c r="A11" s="120" t="s">
        <v>165</v>
      </c>
      <c r="B11" s="123">
        <v>2.1000000000000001E-2</v>
      </c>
    </row>
    <row r="12" spans="1:2">
      <c r="A12" s="120" t="s">
        <v>171</v>
      </c>
      <c r="B12" s="123">
        <v>2.1999999999999999E-2</v>
      </c>
    </row>
    <row r="13" spans="1:2">
      <c r="A13" s="128" t="s">
        <v>323</v>
      </c>
      <c r="B13" s="123">
        <v>8.6999999999999994E-2</v>
      </c>
    </row>
    <row r="14" spans="1:2">
      <c r="A14" s="120" t="s">
        <v>146</v>
      </c>
      <c r="B14" s="123">
        <v>3.2000000000000001E-2</v>
      </c>
    </row>
    <row r="15" spans="1:2">
      <c r="A15" s="120" t="s">
        <v>184</v>
      </c>
      <c r="B15" s="123">
        <v>2.8000000000000001E-2</v>
      </c>
    </row>
    <row r="16" spans="1:2">
      <c r="A16" s="120" t="s">
        <v>136</v>
      </c>
      <c r="B16" s="123">
        <v>1.7999999999999999E-2</v>
      </c>
    </row>
    <row r="17" spans="1:2">
      <c r="A17" s="120" t="s">
        <v>159</v>
      </c>
      <c r="B17" s="123">
        <v>5.0999999999999997E-2</v>
      </c>
    </row>
    <row r="18" spans="1:2">
      <c r="A18" s="120" t="s">
        <v>154</v>
      </c>
      <c r="B18" s="123">
        <v>2.4E-2</v>
      </c>
    </row>
    <row r="19" spans="1:2">
      <c r="A19" s="120" t="s">
        <v>142</v>
      </c>
      <c r="B19" s="123">
        <v>7.1999999999999995E-2</v>
      </c>
    </row>
    <row r="20" spans="1:2">
      <c r="A20" s="120" t="s">
        <v>139</v>
      </c>
      <c r="B20" s="123">
        <v>7.4999999999999997E-2</v>
      </c>
    </row>
    <row r="21" spans="1:2">
      <c r="A21" s="120" t="s">
        <v>155</v>
      </c>
      <c r="B21" s="123">
        <v>1.9E-2</v>
      </c>
    </row>
    <row r="22" spans="1:2">
      <c r="A22" s="120" t="s">
        <v>176</v>
      </c>
      <c r="B22" s="123">
        <v>2.7E-2</v>
      </c>
    </row>
    <row r="23" spans="1:2">
      <c r="A23" s="120" t="s">
        <v>168</v>
      </c>
      <c r="B23" s="123">
        <v>3.4000000000000002E-2</v>
      </c>
    </row>
    <row r="24" spans="1:2">
      <c r="A24" s="120" t="s">
        <v>322</v>
      </c>
      <c r="B24" s="123">
        <v>2.5999999999999999E-2</v>
      </c>
    </row>
    <row r="25" spans="1:2">
      <c r="A25" s="120" t="s">
        <v>230</v>
      </c>
      <c r="B25" s="123">
        <v>2.9000000000000001E-2</v>
      </c>
    </row>
    <row r="26" spans="1:2">
      <c r="A26" s="120" t="s">
        <v>229</v>
      </c>
      <c r="B26" s="123">
        <v>3.1E-2</v>
      </c>
    </row>
    <row r="27" spans="1:2">
      <c r="A27" s="120" t="s">
        <v>89</v>
      </c>
      <c r="B27" s="123">
        <v>0.09</v>
      </c>
    </row>
    <row r="28" spans="1:2">
      <c r="A28" s="6" t="s">
        <v>239</v>
      </c>
      <c r="B28" s="7" t="s">
        <v>259</v>
      </c>
    </row>
    <row r="187" spans="2:2" ht="16">
      <c r="B187" s="122">
        <v>-6.6</v>
      </c>
    </row>
    <row r="188" spans="2:2" ht="16">
      <c r="B188" s="122">
        <v>9.6999999999999993</v>
      </c>
    </row>
    <row r="189" spans="2:2" ht="16">
      <c r="B189" s="122">
        <v>26</v>
      </c>
    </row>
    <row r="190" spans="2:2" ht="16">
      <c r="B190" s="122">
        <v>42.2</v>
      </c>
    </row>
    <row r="191" spans="2:2" ht="16">
      <c r="B191" s="122">
        <v>58.5</v>
      </c>
    </row>
    <row r="192" spans="2:2">
      <c r="B192" s="7" t="s">
        <v>325</v>
      </c>
    </row>
  </sheetData>
  <autoFilter ref="A1:B13" xr:uid="{9BE37368-46AC-4CE3-BCE2-6CD0B301138F}"/>
  <hyperlinks>
    <hyperlink ref="B28" r:id="rId1" xr:uid="{CBCE1E0F-159A-6B4C-A43B-D4E772F58BA6}"/>
    <hyperlink ref="B192" r:id="rId2" display="https://www.theglobaleconomy.com/download-data.php" xr:uid="{CF083DC8-FA5D-C949-8B06-31AAC5A2FF87}"/>
  </hyperlink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1B42-5DDA-472A-92E3-FC8BC0301D36}">
  <dimension ref="A1:B49"/>
  <sheetViews>
    <sheetView topLeftCell="A32" workbookViewId="0">
      <selection activeCell="C28" sqref="C28"/>
    </sheetView>
  </sheetViews>
  <sheetFormatPr baseColWidth="10" defaultColWidth="8.83203125" defaultRowHeight="15"/>
  <cols>
    <col min="2" max="2" width="11.1640625" bestFit="1" customWidth="1"/>
  </cols>
  <sheetData>
    <row r="1" spans="1:2">
      <c r="A1" t="s">
        <v>212</v>
      </c>
      <c r="B1" t="s">
        <v>260</v>
      </c>
    </row>
    <row r="2" spans="1:2">
      <c r="A2" t="s">
        <v>175</v>
      </c>
      <c r="B2">
        <v>24500000</v>
      </c>
    </row>
    <row r="3" spans="1:2">
      <c r="A3" t="s">
        <v>120</v>
      </c>
      <c r="B3">
        <v>6200000</v>
      </c>
    </row>
    <row r="4" spans="1:2">
      <c r="A4" t="s">
        <v>171</v>
      </c>
      <c r="B4">
        <v>3400000</v>
      </c>
    </row>
    <row r="5" spans="1:2">
      <c r="A5" t="s">
        <v>180</v>
      </c>
      <c r="B5">
        <v>2800000</v>
      </c>
    </row>
    <row r="6" spans="1:2">
      <c r="A6" t="s">
        <v>167</v>
      </c>
      <c r="B6">
        <v>2800000</v>
      </c>
    </row>
    <row r="7" spans="1:2">
      <c r="A7" t="s">
        <v>187</v>
      </c>
      <c r="B7">
        <v>2700000</v>
      </c>
    </row>
    <row r="8" spans="1:2">
      <c r="A8" t="s">
        <v>177</v>
      </c>
      <c r="B8">
        <v>2300000</v>
      </c>
    </row>
    <row r="9" spans="1:2">
      <c r="A9" t="s">
        <v>185</v>
      </c>
      <c r="B9">
        <v>2200000</v>
      </c>
    </row>
    <row r="10" spans="1:2">
      <c r="A10" t="s">
        <v>165</v>
      </c>
      <c r="B10">
        <v>1400000</v>
      </c>
    </row>
    <row r="11" spans="1:2">
      <c r="A11" t="s">
        <v>176</v>
      </c>
      <c r="B11">
        <v>1300000</v>
      </c>
    </row>
    <row r="12" spans="1:2">
      <c r="A12" t="s">
        <v>194</v>
      </c>
      <c r="B12">
        <v>1200000</v>
      </c>
    </row>
    <row r="13" spans="1:2">
      <c r="A13" t="s">
        <v>184</v>
      </c>
      <c r="B13">
        <v>1100000</v>
      </c>
    </row>
    <row r="14" spans="1:2">
      <c r="A14" t="s">
        <v>168</v>
      </c>
      <c r="B14">
        <v>1100000</v>
      </c>
    </row>
    <row r="15" spans="1:2">
      <c r="A15" t="s">
        <v>261</v>
      </c>
      <c r="B15">
        <v>869000</v>
      </c>
    </row>
    <row r="16" spans="1:2">
      <c r="A16" t="s">
        <v>61</v>
      </c>
      <c r="B16">
        <v>796000</v>
      </c>
    </row>
    <row r="17" spans="1:2">
      <c r="A17" t="s">
        <v>191</v>
      </c>
      <c r="B17">
        <v>632000</v>
      </c>
    </row>
    <row r="18" spans="1:2">
      <c r="A18" t="s">
        <v>189</v>
      </c>
      <c r="B18">
        <v>610000</v>
      </c>
    </row>
    <row r="19" spans="1:2">
      <c r="A19" t="s">
        <v>183</v>
      </c>
      <c r="B19">
        <v>589000</v>
      </c>
    </row>
    <row r="20" spans="1:2">
      <c r="A20" t="s">
        <v>190</v>
      </c>
      <c r="B20">
        <v>385000</v>
      </c>
    </row>
    <row r="21" spans="1:2">
      <c r="A21" t="s">
        <v>139</v>
      </c>
      <c r="B21">
        <v>353000</v>
      </c>
    </row>
    <row r="22" spans="1:2">
      <c r="A22" t="s">
        <v>179</v>
      </c>
      <c r="B22">
        <v>347000</v>
      </c>
    </row>
    <row r="23" spans="1:2">
      <c r="A23" t="s">
        <v>118</v>
      </c>
      <c r="B23">
        <v>318000</v>
      </c>
    </row>
    <row r="24" spans="1:2">
      <c r="A24" t="s">
        <v>155</v>
      </c>
      <c r="B24">
        <v>313000</v>
      </c>
    </row>
    <row r="25" spans="1:2">
      <c r="A25" t="s">
        <v>186</v>
      </c>
      <c r="B25">
        <v>299000</v>
      </c>
    </row>
    <row r="26" spans="1:2">
      <c r="A26" t="s">
        <v>172</v>
      </c>
      <c r="B26">
        <v>271000</v>
      </c>
    </row>
    <row r="27" spans="1:2">
      <c r="A27" t="s">
        <v>106</v>
      </c>
      <c r="B27">
        <v>266000</v>
      </c>
    </row>
    <row r="28" spans="1:2">
      <c r="A28" t="s">
        <v>193</v>
      </c>
      <c r="B28">
        <v>236000</v>
      </c>
    </row>
    <row r="29" spans="1:2">
      <c r="A29" t="s">
        <v>170</v>
      </c>
      <c r="B29">
        <v>204000</v>
      </c>
    </row>
    <row r="30" spans="1:2">
      <c r="A30" t="s">
        <v>83</v>
      </c>
      <c r="B30">
        <v>191000</v>
      </c>
    </row>
    <row r="31" spans="1:2">
      <c r="A31" t="s">
        <v>188</v>
      </c>
      <c r="B31">
        <v>176000</v>
      </c>
    </row>
    <row r="32" spans="1:2">
      <c r="A32" t="s">
        <v>153</v>
      </c>
      <c r="B32">
        <v>159000</v>
      </c>
    </row>
    <row r="33" spans="1:2">
      <c r="A33" t="s">
        <v>117</v>
      </c>
      <c r="B33">
        <v>147000</v>
      </c>
    </row>
    <row r="34" spans="1:2">
      <c r="A34" t="s">
        <v>182</v>
      </c>
      <c r="B34">
        <v>101000</v>
      </c>
    </row>
    <row r="35" spans="1:2">
      <c r="A35" t="s">
        <v>159</v>
      </c>
      <c r="B35">
        <v>100000</v>
      </c>
    </row>
    <row r="36" spans="1:2">
      <c r="A36" t="s">
        <v>90</v>
      </c>
      <c r="B36">
        <v>87000</v>
      </c>
    </row>
    <row r="37" spans="1:2">
      <c r="A37" t="s">
        <v>85</v>
      </c>
      <c r="B37">
        <v>86000</v>
      </c>
    </row>
    <row r="38" spans="1:2">
      <c r="A38" t="s">
        <v>129</v>
      </c>
      <c r="B38">
        <v>82000</v>
      </c>
    </row>
    <row r="39" spans="1:2">
      <c r="A39" t="s">
        <v>162</v>
      </c>
      <c r="B39">
        <v>81000</v>
      </c>
    </row>
    <row r="40" spans="1:2">
      <c r="A40" t="s">
        <v>82</v>
      </c>
      <c r="B40">
        <v>79000</v>
      </c>
    </row>
    <row r="41" spans="1:2">
      <c r="A41" t="s">
        <v>149</v>
      </c>
      <c r="B41">
        <v>73000</v>
      </c>
    </row>
    <row r="42" spans="1:2">
      <c r="A42" t="s">
        <v>151</v>
      </c>
      <c r="B42">
        <v>66000</v>
      </c>
    </row>
    <row r="43" spans="1:2">
      <c r="A43" t="s">
        <v>88</v>
      </c>
      <c r="B43">
        <v>49000</v>
      </c>
    </row>
    <row r="44" spans="1:2">
      <c r="A44" t="s">
        <v>104</v>
      </c>
      <c r="B44">
        <v>39000</v>
      </c>
    </row>
    <row r="45" spans="1:2">
      <c r="A45" t="s">
        <v>142</v>
      </c>
      <c r="B45">
        <v>37000</v>
      </c>
    </row>
    <row r="46" spans="1:2">
      <c r="A46" t="s">
        <v>154</v>
      </c>
      <c r="B46">
        <v>36000</v>
      </c>
    </row>
    <row r="47" spans="1:2">
      <c r="A47" t="s">
        <v>148</v>
      </c>
      <c r="B47">
        <v>32000</v>
      </c>
    </row>
    <row r="48" spans="1:2">
      <c r="A48" t="s">
        <v>192</v>
      </c>
      <c r="B48" s="1">
        <v>394000</v>
      </c>
    </row>
    <row r="49" spans="1:2">
      <c r="A49" t="s">
        <v>174</v>
      </c>
      <c r="B49" s="1">
        <v>85786</v>
      </c>
    </row>
  </sheetData>
  <autoFilter ref="A1:B47" xr:uid="{A0FC1B42-5DDA-472A-92E3-FC8BC0301D36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1A1A-486B-47FA-98BA-66999BF90C03}">
  <sheetPr>
    <tabColor rgb="FF00B0F0"/>
  </sheetPr>
  <dimension ref="A1:B28"/>
  <sheetViews>
    <sheetView workbookViewId="0">
      <selection activeCell="B24" sqref="B24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212</v>
      </c>
      <c r="B1" t="s">
        <v>262</v>
      </c>
    </row>
    <row r="2" spans="1:2" ht="16">
      <c r="A2" s="114" t="s">
        <v>322</v>
      </c>
      <c r="B2" s="118">
        <v>11350000</v>
      </c>
    </row>
    <row r="3" spans="1:2" ht="16">
      <c r="A3" s="114" t="s">
        <v>229</v>
      </c>
      <c r="B3" s="118">
        <v>347402264</v>
      </c>
    </row>
    <row r="4" spans="1:2" ht="16">
      <c r="A4" s="114" t="s">
        <v>167</v>
      </c>
      <c r="B4" s="118">
        <v>66658005</v>
      </c>
    </row>
    <row r="5" spans="1:2" ht="16">
      <c r="A5" s="114" t="s">
        <v>61</v>
      </c>
      <c r="B5" s="118">
        <v>1454606724</v>
      </c>
    </row>
    <row r="6" spans="1:2" ht="16">
      <c r="A6" s="114" t="s">
        <v>230</v>
      </c>
      <c r="B6" s="118">
        <v>69579448</v>
      </c>
    </row>
    <row r="7" spans="1:2" ht="16">
      <c r="A7" s="114" t="s">
        <v>165</v>
      </c>
      <c r="B7" s="118">
        <v>58934177</v>
      </c>
    </row>
    <row r="8" spans="1:2" ht="16">
      <c r="A8" s="114" t="s">
        <v>120</v>
      </c>
      <c r="B8" s="118">
        <v>1424381924</v>
      </c>
    </row>
    <row r="9" spans="1:2" ht="16">
      <c r="A9" s="114" t="s">
        <v>155</v>
      </c>
      <c r="B9" s="118">
        <v>37989969</v>
      </c>
    </row>
    <row r="10" spans="1:2" ht="16">
      <c r="A10" s="114" t="s">
        <v>187</v>
      </c>
      <c r="B10" s="118">
        <v>83600000</v>
      </c>
    </row>
    <row r="11" spans="1:2" ht="16">
      <c r="A11" s="114" t="s">
        <v>139</v>
      </c>
      <c r="B11" s="118">
        <v>143936258</v>
      </c>
    </row>
    <row r="12" spans="1:2" ht="16">
      <c r="A12" s="114" t="s">
        <v>146</v>
      </c>
      <c r="B12" s="118">
        <v>4387109</v>
      </c>
    </row>
    <row r="13" spans="1:2" ht="16">
      <c r="A13" s="67" t="s">
        <v>90</v>
      </c>
      <c r="B13" s="118">
        <v>116275465</v>
      </c>
    </row>
    <row r="14" spans="1:2" ht="16">
      <c r="A14" s="67" t="s">
        <v>323</v>
      </c>
      <c r="B14" s="118">
        <v>20370672</v>
      </c>
    </row>
    <row r="15" spans="1:2" ht="16">
      <c r="A15" s="67" t="s">
        <v>161</v>
      </c>
      <c r="B15" s="118">
        <v>1588670</v>
      </c>
    </row>
    <row r="16" spans="1:2" ht="16">
      <c r="A16" s="67" t="s">
        <v>154</v>
      </c>
      <c r="B16" s="118">
        <v>2757220</v>
      </c>
    </row>
    <row r="17" spans="1:2" ht="16">
      <c r="A17" s="67" t="s">
        <v>177</v>
      </c>
      <c r="B17" s="118">
        <v>41500000</v>
      </c>
    </row>
    <row r="18" spans="1:2" ht="16">
      <c r="A18" s="67" t="s">
        <v>142</v>
      </c>
      <c r="B18" s="118">
        <v>19424322</v>
      </c>
    </row>
    <row r="19" spans="1:2" ht="16">
      <c r="A19" s="67" t="s">
        <v>136</v>
      </c>
      <c r="B19" s="118">
        <v>4780706</v>
      </c>
    </row>
    <row r="20" spans="1:2" ht="16">
      <c r="A20" s="67" t="s">
        <v>168</v>
      </c>
      <c r="B20" s="118">
        <v>47420024</v>
      </c>
    </row>
    <row r="21" spans="1:2" ht="16">
      <c r="A21" s="67" t="s">
        <v>184</v>
      </c>
      <c r="B21" s="118">
        <v>17722333</v>
      </c>
    </row>
    <row r="22" spans="1:2" ht="16">
      <c r="A22" s="67" t="s">
        <v>171</v>
      </c>
      <c r="B22" s="118">
        <v>121960408</v>
      </c>
    </row>
    <row r="23" spans="1:2" ht="16">
      <c r="A23" s="67" t="s">
        <v>89</v>
      </c>
      <c r="B23" s="118">
        <v>37099506</v>
      </c>
    </row>
    <row r="24" spans="1:2" ht="16">
      <c r="A24" s="67" t="s">
        <v>159</v>
      </c>
      <c r="B24" s="118">
        <v>39616730</v>
      </c>
    </row>
    <row r="25" spans="1:2" ht="16">
      <c r="A25" s="67" t="s">
        <v>176</v>
      </c>
      <c r="B25" s="118">
        <v>51800000</v>
      </c>
    </row>
    <row r="26" spans="1:2" ht="16">
      <c r="A26" s="67" t="s">
        <v>119</v>
      </c>
      <c r="B26" s="118">
        <v>2777003</v>
      </c>
    </row>
    <row r="27" spans="1:2" ht="16">
      <c r="A27" s="67" t="s">
        <v>183</v>
      </c>
      <c r="B27" s="118">
        <v>11825551</v>
      </c>
    </row>
    <row r="28" spans="1:2">
      <c r="A28" s="6" t="s">
        <v>239</v>
      </c>
      <c r="B28" t="s">
        <v>263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274E-0343-4892-9BC0-2F13F44BEB22}">
  <sheetPr>
    <tabColor rgb="FFFF0000"/>
  </sheetPr>
  <dimension ref="A1:AA29"/>
  <sheetViews>
    <sheetView workbookViewId="0">
      <selection activeCell="B29" sqref="B29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3" max="3" width="24.83203125" customWidth="1"/>
    <col min="4" max="4" width="12.6640625" bestFit="1" customWidth="1"/>
    <col min="5" max="5" width="14.5" bestFit="1" customWidth="1"/>
    <col min="13" max="13" width="9.1640625" bestFit="1" customWidth="1"/>
  </cols>
  <sheetData>
    <row r="1" spans="1:27">
      <c r="B1" s="144">
        <v>2024</v>
      </c>
      <c r="C1" s="144"/>
      <c r="D1" s="144">
        <v>2023</v>
      </c>
      <c r="E1" s="144"/>
    </row>
    <row r="2" spans="1:27">
      <c r="A2" s="3" t="s">
        <v>212</v>
      </c>
      <c r="B2" s="3" t="s">
        <v>326</v>
      </c>
      <c r="C2" s="3" t="s">
        <v>327</v>
      </c>
      <c r="D2" s="3" t="s">
        <v>357</v>
      </c>
      <c r="E2" s="3" t="s">
        <v>358</v>
      </c>
    </row>
    <row r="3" spans="1:27">
      <c r="A3" s="114" t="s">
        <v>322</v>
      </c>
      <c r="B3">
        <v>18791890</v>
      </c>
      <c r="C3">
        <v>69430</v>
      </c>
      <c r="D3">
        <v>9975490</v>
      </c>
      <c r="E3">
        <v>85740</v>
      </c>
      <c r="F3" s="5"/>
      <c r="L3" s="127" t="s">
        <v>322</v>
      </c>
      <c r="M3" cm="1">
        <f t="array" ref="M3:M28">VLOOKUP(L3:L28,A3:E28,2,FALSE)</f>
        <v>18791890</v>
      </c>
      <c r="O3" s="127" t="s">
        <v>322</v>
      </c>
      <c r="P3" cm="1">
        <f t="array" ref="P3:P28">VLOOKUP(O3:O28,A3:E28,3,FALSE)</f>
        <v>69430</v>
      </c>
      <c r="R3" s="127" t="s">
        <v>322</v>
      </c>
      <c r="S3" cm="1">
        <f t="array" ref="S3:S28">VLOOKUP(R3:R28,A3:E28,4,FALSE)</f>
        <v>9975490</v>
      </c>
      <c r="U3" s="127" t="s">
        <v>322</v>
      </c>
      <c r="V3" cm="1">
        <f t="array" ref="V3:V28">VLOOKUP(U3:U28,A3:E28,5,FALSE)</f>
        <v>85740</v>
      </c>
      <c r="X3">
        <v>18791890</v>
      </c>
      <c r="Y3">
        <v>69430</v>
      </c>
      <c r="Z3">
        <v>9975490</v>
      </c>
      <c r="AA3">
        <v>85740</v>
      </c>
    </row>
    <row r="4" spans="1:27">
      <c r="A4" s="114" t="s">
        <v>229</v>
      </c>
      <c r="B4">
        <v>3036780</v>
      </c>
      <c r="C4">
        <v>70340</v>
      </c>
      <c r="D4">
        <v>2947460</v>
      </c>
      <c r="E4">
        <v>48810</v>
      </c>
      <c r="F4" s="5"/>
      <c r="L4" s="6" t="s">
        <v>229</v>
      </c>
      <c r="M4">
        <v>3036780</v>
      </c>
      <c r="O4" s="6" t="s">
        <v>229</v>
      </c>
      <c r="P4">
        <v>70340</v>
      </c>
      <c r="R4" s="6" t="s">
        <v>229</v>
      </c>
      <c r="S4">
        <v>2947460</v>
      </c>
      <c r="U4" s="6" t="s">
        <v>229</v>
      </c>
      <c r="V4">
        <v>48810</v>
      </c>
      <c r="X4">
        <v>3036780</v>
      </c>
      <c r="Y4">
        <v>70340</v>
      </c>
      <c r="Z4">
        <v>2947460</v>
      </c>
      <c r="AA4">
        <v>48810</v>
      </c>
    </row>
    <row r="5" spans="1:27">
      <c r="A5" s="114" t="s">
        <v>167</v>
      </c>
      <c r="B5">
        <v>1319680</v>
      </c>
      <c r="C5">
        <v>4240</v>
      </c>
      <c r="D5">
        <v>1175450</v>
      </c>
      <c r="E5">
        <v>2830</v>
      </c>
      <c r="F5" s="5"/>
      <c r="L5" s="6" t="s">
        <v>230</v>
      </c>
      <c r="M5">
        <v>2248410</v>
      </c>
      <c r="O5" s="6" t="s">
        <v>230</v>
      </c>
      <c r="P5">
        <v>169080</v>
      </c>
      <c r="R5" s="6" t="s">
        <v>230</v>
      </c>
      <c r="S5">
        <v>1782130</v>
      </c>
      <c r="U5" s="6" t="s">
        <v>230</v>
      </c>
      <c r="V5">
        <v>136400</v>
      </c>
      <c r="X5">
        <v>2248410</v>
      </c>
      <c r="Y5">
        <v>169080</v>
      </c>
      <c r="Z5">
        <v>1782130</v>
      </c>
      <c r="AA5">
        <v>136400</v>
      </c>
    </row>
    <row r="6" spans="1:27">
      <c r="A6" s="114" t="s">
        <v>61</v>
      </c>
      <c r="B6">
        <v>3792180</v>
      </c>
      <c r="C6">
        <v>206010</v>
      </c>
      <c r="D6">
        <v>2800880</v>
      </c>
      <c r="E6">
        <v>111580</v>
      </c>
      <c r="F6" s="5"/>
      <c r="L6" s="6" t="s">
        <v>187</v>
      </c>
      <c r="M6">
        <v>1384090</v>
      </c>
      <c r="O6" s="6" t="s">
        <v>187</v>
      </c>
      <c r="P6">
        <v>5530</v>
      </c>
      <c r="R6" s="6" t="s">
        <v>187</v>
      </c>
      <c r="S6">
        <v>1351080</v>
      </c>
      <c r="U6" s="6" t="s">
        <v>187</v>
      </c>
      <c r="V6">
        <v>3820</v>
      </c>
      <c r="X6">
        <v>1384090</v>
      </c>
      <c r="Y6">
        <v>5530</v>
      </c>
      <c r="Z6">
        <v>1351080</v>
      </c>
      <c r="AA6">
        <v>3820</v>
      </c>
    </row>
    <row r="7" spans="1:27">
      <c r="A7" s="114" t="s">
        <v>230</v>
      </c>
      <c r="B7">
        <v>2248410</v>
      </c>
      <c r="C7">
        <v>169080</v>
      </c>
      <c r="D7">
        <v>1782130</v>
      </c>
      <c r="E7">
        <v>136400</v>
      </c>
      <c r="F7" s="5"/>
      <c r="L7" s="6" t="s">
        <v>167</v>
      </c>
      <c r="M7">
        <v>1319680</v>
      </c>
      <c r="O7" s="6" t="s">
        <v>167</v>
      </c>
      <c r="P7">
        <v>4240</v>
      </c>
      <c r="R7" s="6" t="s">
        <v>167</v>
      </c>
      <c r="S7">
        <v>1175450</v>
      </c>
      <c r="U7" s="6" t="s">
        <v>167</v>
      </c>
      <c r="V7">
        <v>2830</v>
      </c>
      <c r="X7">
        <v>1319680</v>
      </c>
      <c r="Y7">
        <v>4240</v>
      </c>
      <c r="Z7">
        <v>1175450</v>
      </c>
      <c r="AA7">
        <v>2830</v>
      </c>
    </row>
    <row r="8" spans="1:27">
      <c r="A8" s="114" t="s">
        <v>165</v>
      </c>
      <c r="B8">
        <v>1076490</v>
      </c>
      <c r="C8">
        <v>3370</v>
      </c>
      <c r="D8">
        <v>1109260</v>
      </c>
      <c r="E8">
        <v>3220</v>
      </c>
      <c r="F8" s="5"/>
      <c r="L8" s="67" t="s">
        <v>90</v>
      </c>
      <c r="M8">
        <v>172870</v>
      </c>
      <c r="O8" s="67" t="s">
        <v>90</v>
      </c>
      <c r="P8">
        <v>14650</v>
      </c>
      <c r="R8" s="67" t="s">
        <v>90</v>
      </c>
      <c r="S8">
        <v>149110</v>
      </c>
      <c r="U8" s="67" t="s">
        <v>90</v>
      </c>
      <c r="V8">
        <v>8400</v>
      </c>
      <c r="X8">
        <v>172870</v>
      </c>
      <c r="Y8">
        <v>14650</v>
      </c>
      <c r="Z8">
        <v>149110</v>
      </c>
      <c r="AA8">
        <v>8400</v>
      </c>
    </row>
    <row r="9" spans="1:27">
      <c r="A9" s="114" t="s">
        <v>120</v>
      </c>
      <c r="B9">
        <v>32530</v>
      </c>
      <c r="C9">
        <v>160</v>
      </c>
      <c r="D9">
        <v>21260</v>
      </c>
      <c r="E9">
        <v>160</v>
      </c>
      <c r="F9" s="5"/>
      <c r="L9" s="67" t="s">
        <v>323</v>
      </c>
      <c r="M9">
        <v>71900</v>
      </c>
      <c r="O9" s="67" t="s">
        <v>323</v>
      </c>
      <c r="P9">
        <v>290</v>
      </c>
      <c r="R9" s="67" t="s">
        <v>323</v>
      </c>
      <c r="S9">
        <v>47810</v>
      </c>
      <c r="U9" s="67" t="s">
        <v>323</v>
      </c>
      <c r="V9">
        <v>190</v>
      </c>
      <c r="X9">
        <v>71900</v>
      </c>
      <c r="Y9">
        <v>290</v>
      </c>
      <c r="Z9">
        <v>47810</v>
      </c>
      <c r="AA9">
        <v>190</v>
      </c>
    </row>
    <row r="10" spans="1:27">
      <c r="A10" s="114" t="s">
        <v>155</v>
      </c>
      <c r="B10">
        <v>390390</v>
      </c>
      <c r="C10">
        <v>17520</v>
      </c>
      <c r="D10">
        <v>243830</v>
      </c>
      <c r="E10">
        <v>13820</v>
      </c>
      <c r="F10" s="5"/>
      <c r="L10" s="67" t="s">
        <v>161</v>
      </c>
      <c r="M10">
        <v>94410</v>
      </c>
      <c r="O10" s="67" t="s">
        <v>161</v>
      </c>
      <c r="P10">
        <v>12270</v>
      </c>
      <c r="R10" s="67" t="s">
        <v>161</v>
      </c>
      <c r="S10">
        <v>87090</v>
      </c>
      <c r="U10" s="67" t="s">
        <v>161</v>
      </c>
      <c r="V10">
        <v>12260</v>
      </c>
      <c r="X10">
        <v>94410</v>
      </c>
      <c r="Y10">
        <v>12270</v>
      </c>
      <c r="Z10">
        <v>87090</v>
      </c>
      <c r="AA10">
        <v>12260</v>
      </c>
    </row>
    <row r="11" spans="1:27">
      <c r="A11" s="114" t="s">
        <v>187</v>
      </c>
      <c r="B11">
        <v>1384090</v>
      </c>
      <c r="C11">
        <v>5530</v>
      </c>
      <c r="D11">
        <v>1351080</v>
      </c>
      <c r="E11">
        <v>3820</v>
      </c>
      <c r="F11" s="5"/>
      <c r="L11" s="67" t="s">
        <v>154</v>
      </c>
      <c r="M11">
        <v>139980</v>
      </c>
      <c r="O11" s="67" t="s">
        <v>154</v>
      </c>
      <c r="P11">
        <v>16220</v>
      </c>
      <c r="R11" s="67" t="s">
        <v>154</v>
      </c>
      <c r="S11">
        <v>98020</v>
      </c>
      <c r="U11" s="67" t="s">
        <v>154</v>
      </c>
      <c r="V11">
        <v>14480</v>
      </c>
      <c r="X11">
        <v>139980</v>
      </c>
      <c r="Y11">
        <v>16220</v>
      </c>
      <c r="Z11">
        <v>98020</v>
      </c>
      <c r="AA11">
        <v>14480</v>
      </c>
    </row>
    <row r="12" spans="1:27">
      <c r="A12" s="114" t="s">
        <v>139</v>
      </c>
      <c r="B12" s="135">
        <v>1447698</v>
      </c>
      <c r="C12" s="135">
        <v>27896</v>
      </c>
      <c r="D12" s="135">
        <v>994422</v>
      </c>
      <c r="E12" s="135">
        <v>18822</v>
      </c>
      <c r="F12" s="5"/>
      <c r="L12" s="67" t="s">
        <v>177</v>
      </c>
      <c r="M12">
        <v>604940</v>
      </c>
      <c r="O12" s="67" t="s">
        <v>177</v>
      </c>
      <c r="P12">
        <v>9120</v>
      </c>
      <c r="R12" s="67" t="s">
        <v>177</v>
      </c>
      <c r="S12">
        <v>575590</v>
      </c>
      <c r="U12" s="67" t="s">
        <v>177</v>
      </c>
      <c r="V12">
        <v>6950</v>
      </c>
      <c r="X12">
        <v>604940</v>
      </c>
      <c r="Y12">
        <v>9120</v>
      </c>
      <c r="Z12">
        <v>575590</v>
      </c>
      <c r="AA12">
        <v>6950</v>
      </c>
    </row>
    <row r="13" spans="1:27">
      <c r="A13" s="114" t="s">
        <v>146</v>
      </c>
      <c r="B13">
        <v>156750</v>
      </c>
      <c r="C13">
        <v>14530</v>
      </c>
      <c r="D13">
        <v>136790</v>
      </c>
      <c r="E13">
        <v>11620</v>
      </c>
      <c r="F13" s="5"/>
      <c r="L13" s="67" t="s">
        <v>142</v>
      </c>
      <c r="M13">
        <v>286520</v>
      </c>
      <c r="O13" s="67" t="s">
        <v>142</v>
      </c>
      <c r="P13">
        <v>760</v>
      </c>
      <c r="R13" s="67" t="s">
        <v>142</v>
      </c>
      <c r="S13">
        <v>244350</v>
      </c>
      <c r="U13" s="67" t="s">
        <v>142</v>
      </c>
      <c r="V13">
        <v>570</v>
      </c>
      <c r="X13">
        <v>286520</v>
      </c>
      <c r="Y13">
        <v>760</v>
      </c>
      <c r="Z13">
        <v>244350</v>
      </c>
      <c r="AA13">
        <v>570</v>
      </c>
    </row>
    <row r="14" spans="1:27">
      <c r="A14" s="67" t="s">
        <v>90</v>
      </c>
      <c r="B14">
        <v>172870</v>
      </c>
      <c r="C14">
        <v>14650</v>
      </c>
      <c r="D14">
        <v>149110</v>
      </c>
      <c r="E14">
        <v>8400</v>
      </c>
      <c r="F14" s="5"/>
      <c r="L14" s="67" t="s">
        <v>136</v>
      </c>
      <c r="M14">
        <v>139390</v>
      </c>
      <c r="O14" s="67" t="s">
        <v>136</v>
      </c>
      <c r="P14">
        <v>1260</v>
      </c>
      <c r="R14" s="67" t="s">
        <v>136</v>
      </c>
      <c r="S14">
        <v>98490</v>
      </c>
      <c r="U14" s="67" t="s">
        <v>136</v>
      </c>
      <c r="V14">
        <v>1000</v>
      </c>
      <c r="X14">
        <v>139390</v>
      </c>
      <c r="Y14">
        <v>1260</v>
      </c>
      <c r="Z14">
        <v>98490</v>
      </c>
      <c r="AA14">
        <v>1000</v>
      </c>
    </row>
    <row r="15" spans="1:27">
      <c r="A15" s="67" t="s">
        <v>323</v>
      </c>
      <c r="B15">
        <v>71900</v>
      </c>
      <c r="C15">
        <v>290</v>
      </c>
      <c r="D15">
        <v>47810</v>
      </c>
      <c r="E15">
        <v>190</v>
      </c>
      <c r="F15" s="5"/>
      <c r="L15" s="67" t="s">
        <v>168</v>
      </c>
      <c r="M15">
        <v>641800</v>
      </c>
      <c r="O15" s="67" t="s">
        <v>168</v>
      </c>
      <c r="P15">
        <v>2170</v>
      </c>
      <c r="R15" s="67" t="s">
        <v>168</v>
      </c>
      <c r="S15">
        <v>609940</v>
      </c>
      <c r="U15" s="67" t="s">
        <v>168</v>
      </c>
      <c r="V15">
        <v>1750</v>
      </c>
      <c r="X15">
        <v>641800</v>
      </c>
      <c r="Y15">
        <v>2170</v>
      </c>
      <c r="Z15">
        <v>609940</v>
      </c>
      <c r="AA15">
        <v>1750</v>
      </c>
    </row>
    <row r="16" spans="1:27">
      <c r="A16" s="67" t="s">
        <v>161</v>
      </c>
      <c r="B16">
        <v>94410</v>
      </c>
      <c r="C16">
        <v>12270</v>
      </c>
      <c r="D16">
        <v>87090</v>
      </c>
      <c r="E16">
        <v>12260</v>
      </c>
      <c r="F16" s="5"/>
      <c r="L16" s="67" t="s">
        <v>184</v>
      </c>
      <c r="M16">
        <v>442290</v>
      </c>
      <c r="O16" s="67" t="s">
        <v>184</v>
      </c>
      <c r="P16">
        <v>4160</v>
      </c>
      <c r="R16" s="67" t="s">
        <v>184</v>
      </c>
      <c r="S16">
        <v>431370</v>
      </c>
      <c r="U16" s="67" t="s">
        <v>184</v>
      </c>
      <c r="V16">
        <v>3130</v>
      </c>
      <c r="X16">
        <v>442290</v>
      </c>
      <c r="Y16">
        <v>4160</v>
      </c>
      <c r="Z16">
        <v>431370</v>
      </c>
      <c r="AA16">
        <v>3130</v>
      </c>
    </row>
    <row r="17" spans="1:27">
      <c r="A17" s="67" t="s">
        <v>154</v>
      </c>
      <c r="B17">
        <v>139980</v>
      </c>
      <c r="C17">
        <v>16220</v>
      </c>
      <c r="D17">
        <v>98020</v>
      </c>
      <c r="E17">
        <v>14480</v>
      </c>
      <c r="F17" s="5"/>
      <c r="L17" s="67" t="s">
        <v>171</v>
      </c>
      <c r="M17">
        <v>161240</v>
      </c>
      <c r="O17" s="67" t="s">
        <v>171</v>
      </c>
      <c r="P17">
        <v>72490</v>
      </c>
      <c r="R17" s="67" t="s">
        <v>171</v>
      </c>
      <c r="S17">
        <v>520</v>
      </c>
      <c r="U17" s="67" t="s">
        <v>171</v>
      </c>
      <c r="V17">
        <v>360</v>
      </c>
      <c r="X17">
        <v>161240</v>
      </c>
      <c r="Y17">
        <v>72490</v>
      </c>
      <c r="Z17">
        <v>520</v>
      </c>
      <c r="AA17">
        <v>360</v>
      </c>
    </row>
    <row r="18" spans="1:27">
      <c r="A18" s="67" t="s">
        <v>177</v>
      </c>
      <c r="B18">
        <v>604940</v>
      </c>
      <c r="C18">
        <v>9120</v>
      </c>
      <c r="D18">
        <v>575590</v>
      </c>
      <c r="E18">
        <v>6950</v>
      </c>
      <c r="F18" s="5"/>
      <c r="L18" s="67" t="s">
        <v>89</v>
      </c>
      <c r="M18">
        <v>62390</v>
      </c>
      <c r="O18" s="67" t="s">
        <v>89</v>
      </c>
      <c r="P18">
        <v>370</v>
      </c>
      <c r="R18" s="67" t="s">
        <v>89</v>
      </c>
      <c r="S18">
        <v>54330</v>
      </c>
      <c r="U18" s="67" t="s">
        <v>89</v>
      </c>
      <c r="V18">
        <v>290</v>
      </c>
      <c r="X18">
        <v>62390</v>
      </c>
      <c r="Y18">
        <v>370</v>
      </c>
      <c r="Z18">
        <v>54330</v>
      </c>
      <c r="AA18">
        <v>290</v>
      </c>
    </row>
    <row r="19" spans="1:27">
      <c r="A19" s="67" t="s">
        <v>142</v>
      </c>
      <c r="B19">
        <v>286520</v>
      </c>
      <c r="C19">
        <v>760</v>
      </c>
      <c r="D19">
        <v>244350</v>
      </c>
      <c r="E19">
        <v>570</v>
      </c>
      <c r="F19" s="5"/>
      <c r="L19" s="67" t="s">
        <v>159</v>
      </c>
      <c r="M19">
        <v>663510</v>
      </c>
      <c r="O19" s="67" t="s">
        <v>159</v>
      </c>
      <c r="P19">
        <v>1550</v>
      </c>
      <c r="R19" s="67" t="s">
        <v>159</v>
      </c>
      <c r="S19">
        <v>585130</v>
      </c>
      <c r="U19" s="67" t="s">
        <v>159</v>
      </c>
      <c r="V19">
        <v>1550</v>
      </c>
      <c r="X19">
        <v>663510</v>
      </c>
      <c r="Y19">
        <v>1550</v>
      </c>
      <c r="Z19">
        <v>585130</v>
      </c>
      <c r="AA19">
        <v>1550</v>
      </c>
    </row>
    <row r="20" spans="1:27">
      <c r="A20" s="67" t="s">
        <v>136</v>
      </c>
      <c r="B20">
        <v>139390</v>
      </c>
      <c r="C20">
        <v>1260</v>
      </c>
      <c r="D20">
        <v>98490</v>
      </c>
      <c r="E20">
        <v>1000</v>
      </c>
      <c r="F20" s="5"/>
      <c r="L20" s="67" t="s">
        <v>176</v>
      </c>
      <c r="M20">
        <v>59540</v>
      </c>
      <c r="O20" s="67" t="s">
        <v>176</v>
      </c>
      <c r="P20">
        <v>330</v>
      </c>
      <c r="R20" s="67" t="s">
        <v>176</v>
      </c>
      <c r="S20">
        <v>44400</v>
      </c>
      <c r="U20" s="67" t="s">
        <v>176</v>
      </c>
      <c r="V20">
        <v>330</v>
      </c>
      <c r="X20">
        <v>59540</v>
      </c>
      <c r="Y20">
        <v>330</v>
      </c>
      <c r="Z20">
        <v>44400</v>
      </c>
      <c r="AA20">
        <v>330</v>
      </c>
    </row>
    <row r="21" spans="1:27">
      <c r="A21" s="67" t="s">
        <v>168</v>
      </c>
      <c r="B21">
        <v>641800</v>
      </c>
      <c r="C21">
        <v>2170</v>
      </c>
      <c r="D21">
        <v>609940</v>
      </c>
      <c r="E21">
        <v>1750</v>
      </c>
      <c r="F21" s="5"/>
      <c r="L21" s="67" t="s">
        <v>119</v>
      </c>
      <c r="M21">
        <v>136500</v>
      </c>
      <c r="O21" s="67" t="s">
        <v>119</v>
      </c>
      <c r="P21">
        <v>570</v>
      </c>
      <c r="R21" s="67" t="s">
        <v>119</v>
      </c>
      <c r="S21">
        <v>69270</v>
      </c>
      <c r="U21" s="67" t="s">
        <v>119</v>
      </c>
      <c r="V21">
        <v>570</v>
      </c>
      <c r="X21">
        <v>136500</v>
      </c>
      <c r="Y21">
        <v>570</v>
      </c>
      <c r="Z21">
        <v>69270</v>
      </c>
      <c r="AA21">
        <v>570</v>
      </c>
    </row>
    <row r="22" spans="1:27">
      <c r="A22" s="67" t="s">
        <v>184</v>
      </c>
      <c r="B22">
        <v>442290</v>
      </c>
      <c r="C22">
        <v>4160</v>
      </c>
      <c r="D22">
        <v>431370</v>
      </c>
      <c r="E22">
        <v>3130</v>
      </c>
      <c r="L22" s="67" t="s">
        <v>183</v>
      </c>
      <c r="M22">
        <v>285990</v>
      </c>
      <c r="O22" s="67" t="s">
        <v>183</v>
      </c>
      <c r="P22">
        <v>990</v>
      </c>
      <c r="R22" s="67" t="s">
        <v>183</v>
      </c>
      <c r="S22">
        <v>221500</v>
      </c>
      <c r="U22" s="67" t="s">
        <v>183</v>
      </c>
      <c r="V22">
        <v>740</v>
      </c>
      <c r="X22">
        <v>285990</v>
      </c>
      <c r="Y22">
        <v>990</v>
      </c>
      <c r="Z22">
        <v>221500</v>
      </c>
      <c r="AA22">
        <v>740</v>
      </c>
    </row>
    <row r="23" spans="1:27">
      <c r="A23" s="67" t="s">
        <v>171</v>
      </c>
      <c r="B23">
        <v>161240</v>
      </c>
      <c r="C23">
        <v>72490</v>
      </c>
      <c r="D23">
        <v>520</v>
      </c>
      <c r="E23">
        <v>360</v>
      </c>
      <c r="L23" s="6" t="s">
        <v>165</v>
      </c>
      <c r="M23">
        <v>1076490</v>
      </c>
      <c r="O23" s="6" t="s">
        <v>165</v>
      </c>
      <c r="P23">
        <v>3370</v>
      </c>
      <c r="R23" s="6" t="s">
        <v>165</v>
      </c>
      <c r="S23">
        <v>1109260</v>
      </c>
      <c r="U23" s="6" t="s">
        <v>165</v>
      </c>
      <c r="V23">
        <v>3220</v>
      </c>
      <c r="X23">
        <v>1076490</v>
      </c>
      <c r="Y23">
        <v>3370</v>
      </c>
      <c r="Z23">
        <v>1109260</v>
      </c>
      <c r="AA23">
        <v>3220</v>
      </c>
    </row>
    <row r="24" spans="1:27">
      <c r="A24" s="67" t="s">
        <v>89</v>
      </c>
      <c r="B24">
        <v>62390</v>
      </c>
      <c r="C24">
        <v>370</v>
      </c>
      <c r="D24">
        <v>54330</v>
      </c>
      <c r="E24">
        <v>290</v>
      </c>
      <c r="L24" s="6" t="s">
        <v>120</v>
      </c>
      <c r="M24">
        <v>32530</v>
      </c>
      <c r="O24" s="6" t="s">
        <v>120</v>
      </c>
      <c r="P24">
        <v>160</v>
      </c>
      <c r="R24" s="6" t="s">
        <v>120</v>
      </c>
      <c r="S24">
        <v>21260</v>
      </c>
      <c r="U24" s="6" t="s">
        <v>120</v>
      </c>
      <c r="V24">
        <v>160</v>
      </c>
      <c r="X24">
        <v>32530</v>
      </c>
      <c r="Y24">
        <v>160</v>
      </c>
      <c r="Z24">
        <v>21260</v>
      </c>
      <c r="AA24">
        <v>160</v>
      </c>
    </row>
    <row r="25" spans="1:27">
      <c r="A25" s="67" t="s">
        <v>159</v>
      </c>
      <c r="B25">
        <v>663510</v>
      </c>
      <c r="C25">
        <v>1550</v>
      </c>
      <c r="D25">
        <v>585130</v>
      </c>
      <c r="E25">
        <v>1550</v>
      </c>
      <c r="L25" s="6" t="s">
        <v>155</v>
      </c>
      <c r="M25">
        <v>390390</v>
      </c>
      <c r="O25" s="6" t="s">
        <v>155</v>
      </c>
      <c r="P25">
        <v>17520</v>
      </c>
      <c r="R25" s="6" t="s">
        <v>155</v>
      </c>
      <c r="S25">
        <v>243830</v>
      </c>
      <c r="U25" s="6" t="s">
        <v>155</v>
      </c>
      <c r="V25">
        <v>13820</v>
      </c>
      <c r="X25">
        <v>390390</v>
      </c>
      <c r="Y25">
        <v>17520</v>
      </c>
      <c r="Z25">
        <v>243830</v>
      </c>
      <c r="AA25">
        <v>13820</v>
      </c>
    </row>
    <row r="26" spans="1:27">
      <c r="A26" s="67" t="s">
        <v>176</v>
      </c>
      <c r="B26">
        <v>59540</v>
      </c>
      <c r="C26" s="5">
        <v>330</v>
      </c>
      <c r="D26">
        <v>44400</v>
      </c>
      <c r="E26" s="125">
        <v>330</v>
      </c>
      <c r="L26" s="6" t="s">
        <v>139</v>
      </c>
      <c r="M26">
        <v>1447698</v>
      </c>
      <c r="O26" s="6" t="s">
        <v>139</v>
      </c>
      <c r="P26">
        <v>27896</v>
      </c>
      <c r="R26" s="6" t="s">
        <v>139</v>
      </c>
      <c r="S26">
        <v>994422</v>
      </c>
      <c r="U26" s="6" t="s">
        <v>139</v>
      </c>
      <c r="V26">
        <v>18822</v>
      </c>
      <c r="X26">
        <v>1447698</v>
      </c>
      <c r="Y26">
        <v>27896</v>
      </c>
      <c r="Z26">
        <v>994422</v>
      </c>
      <c r="AA26">
        <v>18822</v>
      </c>
    </row>
    <row r="27" spans="1:27">
      <c r="A27" s="67" t="s">
        <v>119</v>
      </c>
      <c r="B27">
        <v>136500</v>
      </c>
      <c r="C27">
        <v>570</v>
      </c>
      <c r="D27">
        <v>69270</v>
      </c>
      <c r="E27">
        <v>570</v>
      </c>
      <c r="L27" s="6" t="s">
        <v>146</v>
      </c>
      <c r="M27">
        <v>156750</v>
      </c>
      <c r="O27" s="6" t="s">
        <v>146</v>
      </c>
      <c r="P27">
        <v>14530</v>
      </c>
      <c r="R27" s="6" t="s">
        <v>146</v>
      </c>
      <c r="S27">
        <v>136790</v>
      </c>
      <c r="U27" s="6" t="s">
        <v>146</v>
      </c>
      <c r="V27">
        <v>11620</v>
      </c>
      <c r="X27">
        <v>156750</v>
      </c>
      <c r="Y27">
        <v>14530</v>
      </c>
      <c r="Z27">
        <v>136790</v>
      </c>
      <c r="AA27">
        <v>11620</v>
      </c>
    </row>
    <row r="28" spans="1:27">
      <c r="A28" s="67" t="s">
        <v>183</v>
      </c>
      <c r="B28">
        <v>285990</v>
      </c>
      <c r="C28">
        <v>990</v>
      </c>
      <c r="D28">
        <v>221500</v>
      </c>
      <c r="E28">
        <v>740</v>
      </c>
      <c r="L28" s="6" t="s">
        <v>61</v>
      </c>
      <c r="M28">
        <v>3792180</v>
      </c>
      <c r="O28" s="6" t="s">
        <v>61</v>
      </c>
      <c r="P28">
        <v>206010</v>
      </c>
      <c r="R28" s="6" t="s">
        <v>61</v>
      </c>
      <c r="S28">
        <v>2800880</v>
      </c>
      <c r="U28" s="6" t="s">
        <v>61</v>
      </c>
      <c r="V28">
        <v>111580</v>
      </c>
      <c r="X28">
        <v>3792180</v>
      </c>
      <c r="Y28">
        <v>206010</v>
      </c>
      <c r="Z28">
        <v>2800880</v>
      </c>
      <c r="AA28">
        <v>111580</v>
      </c>
    </row>
    <row r="29" spans="1:27">
      <c r="A29" s="6" t="s">
        <v>239</v>
      </c>
      <c r="B29" t="s">
        <v>264</v>
      </c>
    </row>
  </sheetData>
  <mergeCells count="2">
    <mergeCell ref="B1:C1"/>
    <mergeCell ref="D1:E1"/>
  </mergeCells>
  <conditionalFormatting sqref="B3:B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{7A2E32B1-3F83-4259-9BB1-B5BB56CEA903}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E32B1-3F83-4259-9BB1-B5BB56CEA9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B3:B29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B58-AA8E-47E6-94E3-166903AE1C53}">
  <dimension ref="A1:AI54"/>
  <sheetViews>
    <sheetView workbookViewId="0">
      <selection activeCell="A2" sqref="A2"/>
    </sheetView>
  </sheetViews>
  <sheetFormatPr baseColWidth="10" defaultRowHeight="15"/>
  <cols>
    <col min="1" max="1" width="30.5" bestFit="1" customWidth="1"/>
    <col min="2" max="2" width="33.33203125" bestFit="1" customWidth="1"/>
    <col min="3" max="18" width="32.6640625" bestFit="1" customWidth="1"/>
    <col min="19" max="19" width="30" bestFit="1" customWidth="1"/>
    <col min="20" max="20" width="32.6640625" bestFit="1" customWidth="1"/>
    <col min="21" max="21" width="32.33203125" customWidth="1"/>
    <col min="22" max="22" width="31.5" bestFit="1" customWidth="1"/>
    <col min="23" max="23" width="28.6640625" bestFit="1" customWidth="1"/>
    <col min="24" max="24" width="26.5" bestFit="1" customWidth="1"/>
    <col min="25" max="25" width="34.6640625" bestFit="1" customWidth="1"/>
    <col min="26" max="26" width="30.5" bestFit="1" customWidth="1"/>
    <col min="27" max="27" width="27.5" bestFit="1" customWidth="1"/>
    <col min="28" max="28" width="25.5" bestFit="1" customWidth="1"/>
    <col min="29" max="29" width="29.5" bestFit="1" customWidth="1"/>
    <col min="30" max="30" width="25.83203125" bestFit="1" customWidth="1"/>
    <col min="31" max="31" width="26" bestFit="1" customWidth="1"/>
    <col min="32" max="32" width="30.1640625" bestFit="1" customWidth="1"/>
    <col min="33" max="33" width="31" bestFit="1" customWidth="1"/>
    <col min="34" max="34" width="28" bestFit="1" customWidth="1"/>
    <col min="35" max="35" width="28.5" bestFit="1" customWidth="1"/>
  </cols>
  <sheetData>
    <row r="1" spans="1:35">
      <c r="A1" t="s">
        <v>601</v>
      </c>
    </row>
    <row r="2" spans="1:35" s="134" customFormat="1">
      <c r="A2" s="132" t="s">
        <v>363</v>
      </c>
      <c r="B2" s="133" t="s">
        <v>364</v>
      </c>
      <c r="C2" s="133" t="s">
        <v>365</v>
      </c>
      <c r="D2" s="133" t="s">
        <v>366</v>
      </c>
      <c r="E2" s="133" t="s">
        <v>367</v>
      </c>
      <c r="F2" s="133" t="s">
        <v>368</v>
      </c>
      <c r="G2" s="133" t="s">
        <v>369</v>
      </c>
      <c r="H2" s="133" t="s">
        <v>370</v>
      </c>
      <c r="I2" s="133" t="s">
        <v>371</v>
      </c>
      <c r="J2" s="133" t="s">
        <v>372</v>
      </c>
      <c r="K2" s="133" t="s">
        <v>373</v>
      </c>
      <c r="L2" s="133" t="s">
        <v>374</v>
      </c>
      <c r="M2" s="133" t="s">
        <v>375</v>
      </c>
      <c r="N2" s="133" t="s">
        <v>376</v>
      </c>
      <c r="O2" s="133" t="s">
        <v>377</v>
      </c>
      <c r="P2" s="133" t="s">
        <v>378</v>
      </c>
      <c r="Q2" s="133" t="s">
        <v>379</v>
      </c>
      <c r="R2" s="133" t="s">
        <v>380</v>
      </c>
      <c r="S2" s="133" t="s">
        <v>381</v>
      </c>
      <c r="T2" s="133" t="s">
        <v>382</v>
      </c>
      <c r="U2" s="133" t="s">
        <v>383</v>
      </c>
      <c r="V2" s="133" t="s">
        <v>384</v>
      </c>
      <c r="W2" s="133" t="s">
        <v>385</v>
      </c>
      <c r="X2" s="133" t="s">
        <v>386</v>
      </c>
      <c r="Y2" s="133" t="s">
        <v>387</v>
      </c>
      <c r="Z2" s="133" t="s">
        <v>388</v>
      </c>
      <c r="AA2" s="133" t="s">
        <v>389</v>
      </c>
      <c r="AB2" s="133" t="s">
        <v>390</v>
      </c>
      <c r="AC2" s="133" t="s">
        <v>391</v>
      </c>
      <c r="AD2" s="133" t="s">
        <v>392</v>
      </c>
      <c r="AE2" s="133" t="s">
        <v>393</v>
      </c>
      <c r="AF2" s="133" t="s">
        <v>394</v>
      </c>
      <c r="AG2" s="133" t="s">
        <v>395</v>
      </c>
      <c r="AH2" s="133" t="s">
        <v>396</v>
      </c>
      <c r="AI2" s="133" t="s">
        <v>397</v>
      </c>
    </row>
    <row r="3" spans="1:35">
      <c r="A3" t="s">
        <v>398</v>
      </c>
      <c r="B3" t="s">
        <v>399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  <c r="Q3" t="s">
        <v>414</v>
      </c>
      <c r="R3" t="s">
        <v>415</v>
      </c>
      <c r="S3" t="s">
        <v>416</v>
      </c>
      <c r="T3" t="s">
        <v>417</v>
      </c>
      <c r="U3" t="s">
        <v>417</v>
      </c>
      <c r="V3" t="s">
        <v>417</v>
      </c>
      <c r="W3" t="s">
        <v>417</v>
      </c>
      <c r="X3" t="s">
        <v>417</v>
      </c>
      <c r="Y3" t="s">
        <v>417</v>
      </c>
      <c r="Z3" t="s">
        <v>417</v>
      </c>
      <c r="AA3" t="s">
        <v>417</v>
      </c>
      <c r="AB3" t="s">
        <v>417</v>
      </c>
      <c r="AC3" t="s">
        <v>417</v>
      </c>
      <c r="AD3" t="s">
        <v>417</v>
      </c>
      <c r="AE3" t="s">
        <v>417</v>
      </c>
      <c r="AF3" t="s">
        <v>417</v>
      </c>
      <c r="AG3" t="s">
        <v>417</v>
      </c>
      <c r="AH3" t="s">
        <v>417</v>
      </c>
      <c r="AI3" t="s">
        <v>417</v>
      </c>
    </row>
    <row r="4" spans="1:35">
      <c r="A4" t="s">
        <v>418</v>
      </c>
      <c r="B4" t="s">
        <v>419</v>
      </c>
      <c r="C4" t="s">
        <v>420</v>
      </c>
      <c r="D4" t="s">
        <v>421</v>
      </c>
      <c r="E4" t="s">
        <v>422</v>
      </c>
      <c r="F4" t="s">
        <v>423</v>
      </c>
      <c r="G4" t="s">
        <v>424</v>
      </c>
      <c r="H4" t="s">
        <v>425</v>
      </c>
      <c r="I4" t="s">
        <v>426</v>
      </c>
      <c r="J4" t="s">
        <v>427</v>
      </c>
      <c r="K4" t="s">
        <v>428</v>
      </c>
      <c r="L4" t="s">
        <v>429</v>
      </c>
      <c r="M4" t="s">
        <v>430</v>
      </c>
      <c r="N4" t="s">
        <v>431</v>
      </c>
      <c r="O4" t="s">
        <v>432</v>
      </c>
      <c r="P4" t="s">
        <v>433</v>
      </c>
      <c r="Q4" t="s">
        <v>434</v>
      </c>
      <c r="R4" t="s">
        <v>435</v>
      </c>
      <c r="S4" t="s">
        <v>436</v>
      </c>
      <c r="T4" t="s">
        <v>437</v>
      </c>
      <c r="U4" t="s">
        <v>437</v>
      </c>
      <c r="V4" t="s">
        <v>437</v>
      </c>
      <c r="W4" t="s">
        <v>437</v>
      </c>
      <c r="X4" t="s">
        <v>437</v>
      </c>
      <c r="Y4" t="s">
        <v>437</v>
      </c>
      <c r="Z4" t="s">
        <v>437</v>
      </c>
      <c r="AA4" t="s">
        <v>437</v>
      </c>
      <c r="AB4" t="s">
        <v>437</v>
      </c>
      <c r="AC4" t="s">
        <v>437</v>
      </c>
      <c r="AD4" t="s">
        <v>437</v>
      </c>
      <c r="AE4" t="s">
        <v>437</v>
      </c>
      <c r="AF4" t="s">
        <v>437</v>
      </c>
      <c r="AG4" t="s">
        <v>437</v>
      </c>
      <c r="AH4" t="s">
        <v>437</v>
      </c>
      <c r="AI4" t="s">
        <v>437</v>
      </c>
    </row>
    <row r="5" spans="1:35">
      <c r="A5" s="129" t="s">
        <v>438</v>
      </c>
      <c r="B5" t="s">
        <v>439</v>
      </c>
      <c r="C5" t="s">
        <v>440</v>
      </c>
      <c r="D5" t="s">
        <v>441</v>
      </c>
      <c r="E5" t="s">
        <v>442</v>
      </c>
      <c r="F5" t="s">
        <v>443</v>
      </c>
      <c r="G5" t="s">
        <v>444</v>
      </c>
      <c r="H5" t="s">
        <v>445</v>
      </c>
      <c r="I5" t="s">
        <v>446</v>
      </c>
      <c r="J5" t="s">
        <v>447</v>
      </c>
      <c r="K5" t="s">
        <v>448</v>
      </c>
      <c r="L5" t="s">
        <v>449</v>
      </c>
      <c r="M5" t="s">
        <v>417</v>
      </c>
      <c r="N5" t="s">
        <v>450</v>
      </c>
      <c r="O5" t="s">
        <v>451</v>
      </c>
      <c r="P5" t="s">
        <v>452</v>
      </c>
      <c r="Q5" t="s">
        <v>453</v>
      </c>
      <c r="R5" t="s">
        <v>454</v>
      </c>
      <c r="S5" t="s">
        <v>455</v>
      </c>
      <c r="T5" t="s">
        <v>456</v>
      </c>
      <c r="U5" t="s">
        <v>456</v>
      </c>
      <c r="V5" t="s">
        <v>456</v>
      </c>
      <c r="W5" t="s">
        <v>456</v>
      </c>
      <c r="X5" t="s">
        <v>456</v>
      </c>
      <c r="Y5" t="s">
        <v>456</v>
      </c>
      <c r="Z5" t="s">
        <v>456</v>
      </c>
      <c r="AA5" t="s">
        <v>456</v>
      </c>
      <c r="AB5" t="s">
        <v>456</v>
      </c>
      <c r="AC5" t="s">
        <v>456</v>
      </c>
      <c r="AD5" t="s">
        <v>456</v>
      </c>
      <c r="AE5" t="s">
        <v>456</v>
      </c>
      <c r="AF5" t="s">
        <v>456</v>
      </c>
      <c r="AG5" t="s">
        <v>456</v>
      </c>
      <c r="AH5" t="s">
        <v>456</v>
      </c>
      <c r="AI5" t="s">
        <v>456</v>
      </c>
    </row>
    <row r="6" spans="1:35">
      <c r="A6" t="s">
        <v>457</v>
      </c>
      <c r="B6" t="s">
        <v>458</v>
      </c>
      <c r="C6" t="s">
        <v>459</v>
      </c>
      <c r="D6" t="s">
        <v>460</v>
      </c>
      <c r="E6" t="s">
        <v>417</v>
      </c>
      <c r="F6" t="s">
        <v>461</v>
      </c>
      <c r="G6" t="s">
        <v>462</v>
      </c>
      <c r="H6" t="s">
        <v>463</v>
      </c>
      <c r="I6" t="s">
        <v>464</v>
      </c>
      <c r="J6" t="s">
        <v>465</v>
      </c>
      <c r="K6" t="s">
        <v>417</v>
      </c>
      <c r="L6" t="s">
        <v>417</v>
      </c>
      <c r="M6" t="s">
        <v>437</v>
      </c>
      <c r="N6" t="s">
        <v>417</v>
      </c>
      <c r="O6" t="s">
        <v>417</v>
      </c>
      <c r="P6" t="s">
        <v>417</v>
      </c>
      <c r="Q6" t="s">
        <v>417</v>
      </c>
      <c r="R6" t="s">
        <v>417</v>
      </c>
      <c r="S6" t="s">
        <v>466</v>
      </c>
      <c r="T6" t="s">
        <v>467</v>
      </c>
      <c r="U6" t="s">
        <v>467</v>
      </c>
      <c r="V6" t="s">
        <v>467</v>
      </c>
      <c r="W6" t="s">
        <v>467</v>
      </c>
      <c r="X6" t="s">
        <v>467</v>
      </c>
      <c r="Y6" t="s">
        <v>467</v>
      </c>
      <c r="Z6" t="s">
        <v>467</v>
      </c>
      <c r="AA6" t="s">
        <v>467</v>
      </c>
      <c r="AB6" t="s">
        <v>467</v>
      </c>
      <c r="AC6" t="s">
        <v>467</v>
      </c>
      <c r="AD6" t="s">
        <v>467</v>
      </c>
      <c r="AE6" t="s">
        <v>467</v>
      </c>
      <c r="AF6" t="s">
        <v>467</v>
      </c>
      <c r="AG6" t="s">
        <v>467</v>
      </c>
      <c r="AH6" t="s">
        <v>467</v>
      </c>
      <c r="AI6" t="s">
        <v>467</v>
      </c>
    </row>
    <row r="7" spans="1:35">
      <c r="A7" t="s">
        <v>468</v>
      </c>
      <c r="B7" t="s">
        <v>469</v>
      </c>
      <c r="C7" t="s">
        <v>470</v>
      </c>
      <c r="D7" t="s">
        <v>471</v>
      </c>
      <c r="E7" t="s">
        <v>437</v>
      </c>
      <c r="F7" t="s">
        <v>417</v>
      </c>
      <c r="G7" t="s">
        <v>472</v>
      </c>
      <c r="H7" t="s">
        <v>473</v>
      </c>
      <c r="I7" t="s">
        <v>474</v>
      </c>
      <c r="J7" t="s">
        <v>475</v>
      </c>
      <c r="K7" t="s">
        <v>437</v>
      </c>
      <c r="L7" t="s">
        <v>437</v>
      </c>
      <c r="M7" t="s">
        <v>456</v>
      </c>
      <c r="N7" t="s">
        <v>437</v>
      </c>
      <c r="O7" t="s">
        <v>437</v>
      </c>
      <c r="P7" t="s">
        <v>437</v>
      </c>
      <c r="Q7" t="s">
        <v>437</v>
      </c>
      <c r="R7" t="s">
        <v>437</v>
      </c>
      <c r="S7" t="s">
        <v>476</v>
      </c>
      <c r="T7" t="s">
        <v>477</v>
      </c>
      <c r="U7" t="s">
        <v>477</v>
      </c>
      <c r="V7" t="s">
        <v>477</v>
      </c>
      <c r="W7" t="s">
        <v>477</v>
      </c>
      <c r="X7" t="s">
        <v>477</v>
      </c>
      <c r="Y7" t="s">
        <v>477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</row>
    <row r="8" spans="1:35">
      <c r="A8" t="s">
        <v>478</v>
      </c>
      <c r="B8" t="s">
        <v>479</v>
      </c>
      <c r="C8" t="s">
        <v>480</v>
      </c>
      <c r="D8" t="s">
        <v>417</v>
      </c>
      <c r="E8" t="s">
        <v>456</v>
      </c>
      <c r="F8" t="s">
        <v>437</v>
      </c>
      <c r="G8" t="s">
        <v>417</v>
      </c>
      <c r="H8" t="s">
        <v>417</v>
      </c>
      <c r="I8" t="s">
        <v>481</v>
      </c>
      <c r="J8" t="s">
        <v>482</v>
      </c>
      <c r="K8" t="s">
        <v>456</v>
      </c>
      <c r="L8" t="s">
        <v>456</v>
      </c>
      <c r="M8" t="s">
        <v>467</v>
      </c>
      <c r="N8" t="s">
        <v>456</v>
      </c>
      <c r="O8" t="s">
        <v>456</v>
      </c>
      <c r="P8" t="s">
        <v>456</v>
      </c>
      <c r="Q8" t="s">
        <v>456</v>
      </c>
      <c r="R8" t="s">
        <v>456</v>
      </c>
      <c r="S8" t="s">
        <v>455</v>
      </c>
      <c r="T8" t="s">
        <v>483</v>
      </c>
      <c r="U8" t="s">
        <v>483</v>
      </c>
      <c r="V8" t="s">
        <v>483</v>
      </c>
      <c r="W8" t="s">
        <v>483</v>
      </c>
      <c r="X8" t="s">
        <v>483</v>
      </c>
      <c r="Y8" t="s">
        <v>483</v>
      </c>
      <c r="Z8" t="s">
        <v>483</v>
      </c>
      <c r="AA8" t="s">
        <v>483</v>
      </c>
      <c r="AB8" t="s">
        <v>483</v>
      </c>
      <c r="AC8" t="s">
        <v>483</v>
      </c>
      <c r="AD8" t="s">
        <v>483</v>
      </c>
      <c r="AE8" t="s">
        <v>483</v>
      </c>
      <c r="AF8" t="s">
        <v>483</v>
      </c>
      <c r="AG8" t="s">
        <v>483</v>
      </c>
      <c r="AH8" t="s">
        <v>483</v>
      </c>
      <c r="AI8" t="s">
        <v>483</v>
      </c>
    </row>
    <row r="9" spans="1:35">
      <c r="A9" t="s">
        <v>484</v>
      </c>
      <c r="B9" t="s">
        <v>485</v>
      </c>
      <c r="C9" t="s">
        <v>486</v>
      </c>
      <c r="D9" t="s">
        <v>437</v>
      </c>
      <c r="E9" t="s">
        <v>467</v>
      </c>
      <c r="F9" t="s">
        <v>456</v>
      </c>
      <c r="G9" t="s">
        <v>437</v>
      </c>
      <c r="H9" t="s">
        <v>437</v>
      </c>
      <c r="I9" t="s">
        <v>417</v>
      </c>
      <c r="J9" t="s">
        <v>487</v>
      </c>
      <c r="K9" t="s">
        <v>467</v>
      </c>
      <c r="L9" t="s">
        <v>467</v>
      </c>
      <c r="M9" t="s">
        <v>477</v>
      </c>
      <c r="N9" t="s">
        <v>467</v>
      </c>
      <c r="O9" t="s">
        <v>467</v>
      </c>
      <c r="P9" t="s">
        <v>467</v>
      </c>
      <c r="Q9" t="s">
        <v>467</v>
      </c>
      <c r="R9" t="s">
        <v>467</v>
      </c>
      <c r="S9" t="s">
        <v>488</v>
      </c>
      <c r="T9" t="s">
        <v>489</v>
      </c>
      <c r="U9" t="s">
        <v>489</v>
      </c>
      <c r="V9" t="s">
        <v>489</v>
      </c>
      <c r="W9" t="s">
        <v>489</v>
      </c>
      <c r="X9" t="s">
        <v>489</v>
      </c>
      <c r="Y9" t="s">
        <v>489</v>
      </c>
      <c r="Z9" t="s">
        <v>489</v>
      </c>
      <c r="AA9" t="s">
        <v>489</v>
      </c>
      <c r="AB9" t="s">
        <v>489</v>
      </c>
      <c r="AC9" t="s">
        <v>489</v>
      </c>
      <c r="AD9" t="s">
        <v>489</v>
      </c>
      <c r="AE9" t="s">
        <v>489</v>
      </c>
      <c r="AF9" t="s">
        <v>489</v>
      </c>
      <c r="AG9" t="s">
        <v>489</v>
      </c>
      <c r="AH9" t="s">
        <v>489</v>
      </c>
      <c r="AI9" t="s">
        <v>489</v>
      </c>
    </row>
    <row r="10" spans="1:35">
      <c r="A10" t="s">
        <v>490</v>
      </c>
      <c r="B10" t="s">
        <v>491</v>
      </c>
      <c r="C10" t="s">
        <v>492</v>
      </c>
      <c r="D10" t="s">
        <v>456</v>
      </c>
      <c r="E10" t="s">
        <v>477</v>
      </c>
      <c r="F10" t="s">
        <v>467</v>
      </c>
      <c r="G10" t="s">
        <v>456</v>
      </c>
      <c r="H10" t="s">
        <v>456</v>
      </c>
      <c r="I10" t="s">
        <v>437</v>
      </c>
      <c r="J10" t="s">
        <v>417</v>
      </c>
      <c r="K10" t="s">
        <v>477</v>
      </c>
      <c r="L10" t="s">
        <v>477</v>
      </c>
      <c r="M10" t="s">
        <v>483</v>
      </c>
      <c r="N10" t="s">
        <v>477</v>
      </c>
      <c r="O10" t="s">
        <v>477</v>
      </c>
      <c r="P10" t="s">
        <v>477</v>
      </c>
      <c r="Q10" t="s">
        <v>477</v>
      </c>
      <c r="R10" t="s">
        <v>477</v>
      </c>
      <c r="S10" t="s">
        <v>493</v>
      </c>
      <c r="T10" t="s">
        <v>494</v>
      </c>
      <c r="U10" t="s">
        <v>494</v>
      </c>
      <c r="V10" t="s">
        <v>494</v>
      </c>
      <c r="W10" t="s">
        <v>494</v>
      </c>
      <c r="X10" t="s">
        <v>494</v>
      </c>
      <c r="Y10" t="s">
        <v>494</v>
      </c>
      <c r="Z10" t="s">
        <v>494</v>
      </c>
      <c r="AA10" t="s">
        <v>494</v>
      </c>
      <c r="AB10" t="s">
        <v>494</v>
      </c>
      <c r="AC10" t="s">
        <v>494</v>
      </c>
      <c r="AD10" t="s">
        <v>494</v>
      </c>
      <c r="AE10" t="s">
        <v>494</v>
      </c>
      <c r="AF10" t="s">
        <v>494</v>
      </c>
      <c r="AG10" t="s">
        <v>494</v>
      </c>
      <c r="AH10" t="s">
        <v>494</v>
      </c>
      <c r="AI10" t="s">
        <v>494</v>
      </c>
    </row>
    <row r="11" spans="1:35">
      <c r="A11" t="s">
        <v>495</v>
      </c>
      <c r="B11" t="s">
        <v>496</v>
      </c>
      <c r="C11" t="s">
        <v>497</v>
      </c>
      <c r="D11" t="s">
        <v>467</v>
      </c>
      <c r="E11" t="s">
        <v>483</v>
      </c>
      <c r="F11" t="s">
        <v>477</v>
      </c>
      <c r="G11" t="s">
        <v>467</v>
      </c>
      <c r="H11" t="s">
        <v>467</v>
      </c>
      <c r="I11" t="s">
        <v>456</v>
      </c>
      <c r="J11" t="s">
        <v>437</v>
      </c>
      <c r="K11" t="s">
        <v>483</v>
      </c>
      <c r="L11" t="s">
        <v>483</v>
      </c>
      <c r="M11" t="s">
        <v>489</v>
      </c>
      <c r="N11" t="s">
        <v>483</v>
      </c>
      <c r="O11" t="s">
        <v>483</v>
      </c>
      <c r="P11" t="s">
        <v>483</v>
      </c>
      <c r="Q11" t="s">
        <v>483</v>
      </c>
      <c r="R11" t="s">
        <v>483</v>
      </c>
      <c r="S11" t="s">
        <v>498</v>
      </c>
      <c r="T11" t="s">
        <v>499</v>
      </c>
      <c r="U11" t="s">
        <v>499</v>
      </c>
      <c r="V11" t="s">
        <v>499</v>
      </c>
      <c r="W11" t="s">
        <v>499</v>
      </c>
      <c r="X11" t="s">
        <v>499</v>
      </c>
      <c r="Y11" t="s">
        <v>499</v>
      </c>
      <c r="Z11" t="s">
        <v>499</v>
      </c>
      <c r="AA11" t="s">
        <v>499</v>
      </c>
      <c r="AB11" t="s">
        <v>499</v>
      </c>
      <c r="AC11" t="s">
        <v>499</v>
      </c>
      <c r="AD11" t="s">
        <v>499</v>
      </c>
      <c r="AE11" t="s">
        <v>499</v>
      </c>
      <c r="AF11" t="s">
        <v>499</v>
      </c>
      <c r="AG11" t="s">
        <v>499</v>
      </c>
      <c r="AH11" t="s">
        <v>499</v>
      </c>
      <c r="AI11" t="s">
        <v>499</v>
      </c>
    </row>
    <row r="12" spans="1:35">
      <c r="A12" t="s">
        <v>500</v>
      </c>
      <c r="B12" t="s">
        <v>501</v>
      </c>
      <c r="C12" t="s">
        <v>417</v>
      </c>
      <c r="D12" t="s">
        <v>477</v>
      </c>
      <c r="E12" t="s">
        <v>489</v>
      </c>
      <c r="F12" t="s">
        <v>483</v>
      </c>
      <c r="G12" t="s">
        <v>477</v>
      </c>
      <c r="H12" t="s">
        <v>477</v>
      </c>
      <c r="I12" t="s">
        <v>467</v>
      </c>
      <c r="J12" t="s">
        <v>456</v>
      </c>
      <c r="K12" t="s">
        <v>489</v>
      </c>
      <c r="L12" t="s">
        <v>489</v>
      </c>
      <c r="M12" t="s">
        <v>494</v>
      </c>
      <c r="N12" t="s">
        <v>489</v>
      </c>
      <c r="O12" t="s">
        <v>489</v>
      </c>
      <c r="P12" t="s">
        <v>489</v>
      </c>
      <c r="Q12" t="s">
        <v>489</v>
      </c>
      <c r="R12" t="s">
        <v>489</v>
      </c>
      <c r="S12" t="s">
        <v>417</v>
      </c>
      <c r="T12" t="s">
        <v>502</v>
      </c>
      <c r="U12" t="s">
        <v>502</v>
      </c>
      <c r="V12" t="s">
        <v>502</v>
      </c>
      <c r="W12" t="s">
        <v>502</v>
      </c>
      <c r="X12" t="s">
        <v>502</v>
      </c>
      <c r="Y12" t="s">
        <v>502</v>
      </c>
      <c r="Z12" t="s">
        <v>502</v>
      </c>
      <c r="AA12" t="s">
        <v>502</v>
      </c>
      <c r="AB12" t="s">
        <v>502</v>
      </c>
      <c r="AC12" t="s">
        <v>502</v>
      </c>
      <c r="AD12" t="s">
        <v>502</v>
      </c>
      <c r="AE12" t="s">
        <v>502</v>
      </c>
      <c r="AF12" t="s">
        <v>502</v>
      </c>
      <c r="AG12" t="s">
        <v>502</v>
      </c>
      <c r="AH12" t="s">
        <v>502</v>
      </c>
      <c r="AI12" t="s">
        <v>502</v>
      </c>
    </row>
    <row r="13" spans="1:35">
      <c r="A13" t="s">
        <v>503</v>
      </c>
      <c r="B13" t="s">
        <v>504</v>
      </c>
      <c r="C13" t="s">
        <v>437</v>
      </c>
      <c r="D13" t="s">
        <v>483</v>
      </c>
      <c r="E13" t="s">
        <v>494</v>
      </c>
      <c r="F13" t="s">
        <v>489</v>
      </c>
      <c r="G13" t="s">
        <v>483</v>
      </c>
      <c r="H13" t="s">
        <v>483</v>
      </c>
      <c r="I13" t="s">
        <v>477</v>
      </c>
      <c r="J13" t="s">
        <v>467</v>
      </c>
      <c r="K13" t="s">
        <v>494</v>
      </c>
      <c r="L13" t="s">
        <v>494</v>
      </c>
      <c r="M13" t="s">
        <v>499</v>
      </c>
      <c r="N13" t="s">
        <v>494</v>
      </c>
      <c r="O13" t="s">
        <v>494</v>
      </c>
      <c r="P13" t="s">
        <v>494</v>
      </c>
      <c r="Q13" t="s">
        <v>494</v>
      </c>
      <c r="R13" t="s">
        <v>494</v>
      </c>
      <c r="S13" t="s">
        <v>437</v>
      </c>
      <c r="T13" t="s">
        <v>505</v>
      </c>
      <c r="U13" t="s">
        <v>505</v>
      </c>
      <c r="V13" t="s">
        <v>505</v>
      </c>
      <c r="W13" t="s">
        <v>505</v>
      </c>
      <c r="X13" t="s">
        <v>505</v>
      </c>
      <c r="Y13" t="s">
        <v>505</v>
      </c>
      <c r="Z13" t="s">
        <v>505</v>
      </c>
      <c r="AA13" t="s">
        <v>505</v>
      </c>
      <c r="AB13" t="s">
        <v>505</v>
      </c>
      <c r="AC13" t="s">
        <v>505</v>
      </c>
      <c r="AD13" t="s">
        <v>505</v>
      </c>
      <c r="AE13" t="s">
        <v>505</v>
      </c>
      <c r="AF13" t="s">
        <v>505</v>
      </c>
      <c r="AG13" t="s">
        <v>505</v>
      </c>
      <c r="AH13" t="s">
        <v>505</v>
      </c>
      <c r="AI13" t="s">
        <v>505</v>
      </c>
    </row>
    <row r="14" spans="1:35">
      <c r="A14" t="s">
        <v>506</v>
      </c>
      <c r="B14" t="s">
        <v>507</v>
      </c>
      <c r="C14" t="s">
        <v>456</v>
      </c>
      <c r="D14" t="s">
        <v>489</v>
      </c>
      <c r="E14" t="s">
        <v>499</v>
      </c>
      <c r="F14" t="s">
        <v>494</v>
      </c>
      <c r="G14" t="s">
        <v>489</v>
      </c>
      <c r="H14" t="s">
        <v>489</v>
      </c>
      <c r="I14" t="s">
        <v>483</v>
      </c>
      <c r="J14" t="s">
        <v>477</v>
      </c>
      <c r="K14" t="s">
        <v>499</v>
      </c>
      <c r="L14" t="s">
        <v>499</v>
      </c>
      <c r="M14" t="s">
        <v>502</v>
      </c>
      <c r="N14" t="s">
        <v>499</v>
      </c>
      <c r="O14" t="s">
        <v>499</v>
      </c>
      <c r="P14" t="s">
        <v>499</v>
      </c>
      <c r="Q14" t="s">
        <v>499</v>
      </c>
      <c r="R14" t="s">
        <v>499</v>
      </c>
      <c r="S14" t="s">
        <v>456</v>
      </c>
      <c r="T14" t="s">
        <v>508</v>
      </c>
      <c r="U14" t="s">
        <v>508</v>
      </c>
      <c r="V14" t="s">
        <v>508</v>
      </c>
      <c r="W14" t="s">
        <v>508</v>
      </c>
      <c r="X14" t="s">
        <v>508</v>
      </c>
      <c r="Y14" t="s">
        <v>508</v>
      </c>
      <c r="Z14" t="s">
        <v>508</v>
      </c>
      <c r="AA14" t="s">
        <v>508</v>
      </c>
      <c r="AB14" t="s">
        <v>508</v>
      </c>
      <c r="AC14" t="s">
        <v>508</v>
      </c>
      <c r="AD14" t="s">
        <v>508</v>
      </c>
      <c r="AE14" t="s">
        <v>508</v>
      </c>
      <c r="AF14" t="s">
        <v>508</v>
      </c>
      <c r="AG14" t="s">
        <v>508</v>
      </c>
      <c r="AH14" t="s">
        <v>508</v>
      </c>
      <c r="AI14" t="s">
        <v>508</v>
      </c>
    </row>
    <row r="15" spans="1:35">
      <c r="A15" t="s">
        <v>509</v>
      </c>
      <c r="B15" t="s">
        <v>510</v>
      </c>
      <c r="C15" t="s">
        <v>467</v>
      </c>
      <c r="D15" t="s">
        <v>494</v>
      </c>
      <c r="E15" t="s">
        <v>502</v>
      </c>
      <c r="F15" t="s">
        <v>499</v>
      </c>
      <c r="G15" t="s">
        <v>494</v>
      </c>
      <c r="H15" t="s">
        <v>494</v>
      </c>
      <c r="I15" t="s">
        <v>489</v>
      </c>
      <c r="J15" t="s">
        <v>483</v>
      </c>
      <c r="K15" t="s">
        <v>502</v>
      </c>
      <c r="L15" t="s">
        <v>502</v>
      </c>
      <c r="M15" t="s">
        <v>505</v>
      </c>
      <c r="N15" t="s">
        <v>502</v>
      </c>
      <c r="O15" t="s">
        <v>502</v>
      </c>
      <c r="P15" t="s">
        <v>502</v>
      </c>
      <c r="Q15" t="s">
        <v>502</v>
      </c>
      <c r="R15" t="s">
        <v>502</v>
      </c>
      <c r="S15" t="s">
        <v>467</v>
      </c>
      <c r="T15" t="s">
        <v>511</v>
      </c>
      <c r="U15" t="s">
        <v>511</v>
      </c>
      <c r="V15" t="s">
        <v>511</v>
      </c>
      <c r="W15" t="s">
        <v>511</v>
      </c>
      <c r="X15" t="s">
        <v>511</v>
      </c>
      <c r="Y15" t="s">
        <v>511</v>
      </c>
      <c r="Z15" t="s">
        <v>511</v>
      </c>
      <c r="AA15" t="s">
        <v>511</v>
      </c>
      <c r="AB15" t="s">
        <v>511</v>
      </c>
      <c r="AC15" t="s">
        <v>511</v>
      </c>
      <c r="AD15" t="s">
        <v>511</v>
      </c>
      <c r="AE15" t="s">
        <v>511</v>
      </c>
      <c r="AF15" t="s">
        <v>511</v>
      </c>
      <c r="AG15" t="s">
        <v>511</v>
      </c>
      <c r="AH15" t="s">
        <v>511</v>
      </c>
      <c r="AI15" t="s">
        <v>511</v>
      </c>
    </row>
    <row r="16" spans="1:35">
      <c r="A16" t="s">
        <v>512</v>
      </c>
      <c r="B16" t="s">
        <v>513</v>
      </c>
      <c r="C16" t="s">
        <v>477</v>
      </c>
      <c r="D16" t="s">
        <v>499</v>
      </c>
      <c r="E16" t="s">
        <v>505</v>
      </c>
      <c r="F16" t="s">
        <v>502</v>
      </c>
      <c r="G16" t="s">
        <v>499</v>
      </c>
      <c r="H16" t="s">
        <v>499</v>
      </c>
      <c r="I16" t="s">
        <v>494</v>
      </c>
      <c r="J16" t="s">
        <v>489</v>
      </c>
      <c r="K16" t="s">
        <v>505</v>
      </c>
      <c r="L16" t="s">
        <v>505</v>
      </c>
      <c r="M16" t="s">
        <v>508</v>
      </c>
      <c r="N16" t="s">
        <v>505</v>
      </c>
      <c r="O16" t="s">
        <v>505</v>
      </c>
      <c r="P16" t="s">
        <v>505</v>
      </c>
      <c r="Q16" t="s">
        <v>505</v>
      </c>
      <c r="R16" t="s">
        <v>505</v>
      </c>
      <c r="S16" t="s">
        <v>477</v>
      </c>
      <c r="T16" t="s">
        <v>514</v>
      </c>
      <c r="U16" t="s">
        <v>514</v>
      </c>
      <c r="V16" t="s">
        <v>514</v>
      </c>
      <c r="W16" t="s">
        <v>514</v>
      </c>
      <c r="X16" t="s">
        <v>514</v>
      </c>
      <c r="Y16" t="s">
        <v>514</v>
      </c>
      <c r="Z16" t="s">
        <v>514</v>
      </c>
      <c r="AA16" t="s">
        <v>514</v>
      </c>
      <c r="AB16" t="s">
        <v>514</v>
      </c>
      <c r="AC16" t="s">
        <v>514</v>
      </c>
      <c r="AD16" t="s">
        <v>514</v>
      </c>
      <c r="AE16" t="s">
        <v>514</v>
      </c>
      <c r="AF16" t="s">
        <v>514</v>
      </c>
      <c r="AG16" t="s">
        <v>514</v>
      </c>
      <c r="AH16" t="s">
        <v>514</v>
      </c>
      <c r="AI16" t="s">
        <v>514</v>
      </c>
    </row>
    <row r="17" spans="1:35">
      <c r="A17" t="s">
        <v>515</v>
      </c>
      <c r="B17" t="s">
        <v>417</v>
      </c>
      <c r="C17" t="s">
        <v>483</v>
      </c>
      <c r="D17" t="s">
        <v>502</v>
      </c>
      <c r="E17" t="s">
        <v>508</v>
      </c>
      <c r="F17" t="s">
        <v>505</v>
      </c>
      <c r="G17" t="s">
        <v>502</v>
      </c>
      <c r="H17" t="s">
        <v>502</v>
      </c>
      <c r="I17" t="s">
        <v>499</v>
      </c>
      <c r="J17" t="s">
        <v>494</v>
      </c>
      <c r="K17" t="s">
        <v>508</v>
      </c>
      <c r="L17" t="s">
        <v>508</v>
      </c>
      <c r="M17" t="s">
        <v>511</v>
      </c>
      <c r="N17" t="s">
        <v>508</v>
      </c>
      <c r="O17" t="s">
        <v>508</v>
      </c>
      <c r="P17" t="s">
        <v>508</v>
      </c>
      <c r="Q17" t="s">
        <v>508</v>
      </c>
      <c r="R17" t="s">
        <v>508</v>
      </c>
      <c r="S17" t="s">
        <v>483</v>
      </c>
      <c r="T17" t="s">
        <v>516</v>
      </c>
      <c r="U17" t="s">
        <v>516</v>
      </c>
      <c r="V17" t="s">
        <v>516</v>
      </c>
      <c r="W17" t="s">
        <v>516</v>
      </c>
      <c r="X17" t="s">
        <v>516</v>
      </c>
      <c r="Y17" t="s">
        <v>516</v>
      </c>
      <c r="Z17" t="s">
        <v>516</v>
      </c>
      <c r="AA17" t="s">
        <v>516</v>
      </c>
      <c r="AB17" t="s">
        <v>516</v>
      </c>
      <c r="AC17" t="s">
        <v>516</v>
      </c>
      <c r="AD17" t="s">
        <v>516</v>
      </c>
      <c r="AE17" t="s">
        <v>516</v>
      </c>
      <c r="AF17" t="s">
        <v>516</v>
      </c>
      <c r="AG17" t="s">
        <v>516</v>
      </c>
      <c r="AH17" t="s">
        <v>516</v>
      </c>
      <c r="AI17" t="s">
        <v>516</v>
      </c>
    </row>
    <row r="18" spans="1:35">
      <c r="A18" t="s">
        <v>517</v>
      </c>
      <c r="B18" t="s">
        <v>437</v>
      </c>
      <c r="C18" t="s">
        <v>489</v>
      </c>
      <c r="D18" t="s">
        <v>505</v>
      </c>
      <c r="E18" t="s">
        <v>511</v>
      </c>
      <c r="F18" t="s">
        <v>508</v>
      </c>
      <c r="G18" t="s">
        <v>505</v>
      </c>
      <c r="H18" t="s">
        <v>505</v>
      </c>
      <c r="I18" t="s">
        <v>502</v>
      </c>
      <c r="J18" t="s">
        <v>499</v>
      </c>
      <c r="K18" t="s">
        <v>511</v>
      </c>
      <c r="L18" t="s">
        <v>511</v>
      </c>
      <c r="M18" t="s">
        <v>514</v>
      </c>
      <c r="N18" t="s">
        <v>511</v>
      </c>
      <c r="O18" t="s">
        <v>511</v>
      </c>
      <c r="P18" t="s">
        <v>511</v>
      </c>
      <c r="Q18" t="s">
        <v>511</v>
      </c>
      <c r="R18" t="s">
        <v>511</v>
      </c>
      <c r="S18" t="s">
        <v>489</v>
      </c>
      <c r="T18" t="s">
        <v>518</v>
      </c>
      <c r="U18" t="s">
        <v>518</v>
      </c>
      <c r="V18" t="s">
        <v>518</v>
      </c>
      <c r="W18" t="s">
        <v>518</v>
      </c>
      <c r="X18" t="s">
        <v>518</v>
      </c>
      <c r="Y18" t="s">
        <v>518</v>
      </c>
      <c r="Z18" t="s">
        <v>518</v>
      </c>
      <c r="AA18" t="s">
        <v>518</v>
      </c>
      <c r="AB18" t="s">
        <v>518</v>
      </c>
      <c r="AC18" t="s">
        <v>518</v>
      </c>
      <c r="AD18" t="s">
        <v>518</v>
      </c>
      <c r="AE18" t="s">
        <v>518</v>
      </c>
      <c r="AF18" t="s">
        <v>518</v>
      </c>
      <c r="AG18" t="s">
        <v>518</v>
      </c>
      <c r="AH18" t="s">
        <v>518</v>
      </c>
      <c r="AI18" t="s">
        <v>518</v>
      </c>
    </row>
    <row r="19" spans="1:35">
      <c r="A19" t="s">
        <v>519</v>
      </c>
      <c r="B19" t="s">
        <v>456</v>
      </c>
      <c r="C19" t="s">
        <v>494</v>
      </c>
      <c r="D19" t="s">
        <v>508</v>
      </c>
      <c r="E19" t="s">
        <v>514</v>
      </c>
      <c r="F19" t="s">
        <v>511</v>
      </c>
      <c r="G19" t="s">
        <v>508</v>
      </c>
      <c r="H19" t="s">
        <v>508</v>
      </c>
      <c r="I19" t="s">
        <v>505</v>
      </c>
      <c r="J19" t="s">
        <v>502</v>
      </c>
      <c r="K19" t="s">
        <v>514</v>
      </c>
      <c r="L19" t="s">
        <v>514</v>
      </c>
      <c r="M19" t="s">
        <v>516</v>
      </c>
      <c r="N19" t="s">
        <v>514</v>
      </c>
      <c r="O19" t="s">
        <v>514</v>
      </c>
      <c r="P19" t="s">
        <v>514</v>
      </c>
      <c r="Q19" t="s">
        <v>514</v>
      </c>
      <c r="R19" t="s">
        <v>514</v>
      </c>
      <c r="S19" t="s">
        <v>494</v>
      </c>
      <c r="T19" t="s">
        <v>520</v>
      </c>
      <c r="U19" t="s">
        <v>520</v>
      </c>
      <c r="V19" t="s">
        <v>520</v>
      </c>
      <c r="W19" t="s">
        <v>520</v>
      </c>
      <c r="X19" t="s">
        <v>520</v>
      </c>
      <c r="Y19" t="s">
        <v>520</v>
      </c>
      <c r="Z19" t="s">
        <v>520</v>
      </c>
      <c r="AA19" t="s">
        <v>520</v>
      </c>
      <c r="AB19" t="s">
        <v>520</v>
      </c>
      <c r="AC19" t="s">
        <v>520</v>
      </c>
      <c r="AD19" t="s">
        <v>520</v>
      </c>
      <c r="AE19" t="s">
        <v>520</v>
      </c>
      <c r="AF19" t="s">
        <v>520</v>
      </c>
      <c r="AG19" t="s">
        <v>520</v>
      </c>
      <c r="AH19" t="s">
        <v>520</v>
      </c>
      <c r="AI19" t="s">
        <v>520</v>
      </c>
    </row>
    <row r="20" spans="1:35">
      <c r="A20" t="s">
        <v>521</v>
      </c>
      <c r="B20" t="s">
        <v>467</v>
      </c>
      <c r="C20" t="s">
        <v>499</v>
      </c>
      <c r="D20" t="s">
        <v>511</v>
      </c>
      <c r="E20" t="s">
        <v>516</v>
      </c>
      <c r="F20" t="s">
        <v>514</v>
      </c>
      <c r="G20" t="s">
        <v>511</v>
      </c>
      <c r="H20" t="s">
        <v>511</v>
      </c>
      <c r="I20" t="s">
        <v>508</v>
      </c>
      <c r="J20" t="s">
        <v>505</v>
      </c>
      <c r="K20" t="s">
        <v>516</v>
      </c>
      <c r="L20" t="s">
        <v>516</v>
      </c>
      <c r="M20" t="s">
        <v>518</v>
      </c>
      <c r="N20" t="s">
        <v>516</v>
      </c>
      <c r="O20" t="s">
        <v>516</v>
      </c>
      <c r="P20" t="s">
        <v>516</v>
      </c>
      <c r="Q20" t="s">
        <v>516</v>
      </c>
      <c r="R20" t="s">
        <v>516</v>
      </c>
      <c r="S20" t="s">
        <v>499</v>
      </c>
      <c r="T20" t="s">
        <v>522</v>
      </c>
      <c r="U20" t="s">
        <v>522</v>
      </c>
      <c r="V20" t="s">
        <v>522</v>
      </c>
      <c r="W20" t="s">
        <v>522</v>
      </c>
      <c r="X20" t="s">
        <v>522</v>
      </c>
      <c r="Y20" t="s">
        <v>522</v>
      </c>
      <c r="Z20" t="s">
        <v>522</v>
      </c>
      <c r="AA20" t="s">
        <v>522</v>
      </c>
      <c r="AB20" t="s">
        <v>522</v>
      </c>
      <c r="AC20" t="s">
        <v>522</v>
      </c>
      <c r="AD20" t="s">
        <v>522</v>
      </c>
      <c r="AE20" t="s">
        <v>522</v>
      </c>
      <c r="AF20" t="s">
        <v>522</v>
      </c>
      <c r="AG20" t="s">
        <v>522</v>
      </c>
      <c r="AH20" t="s">
        <v>522</v>
      </c>
      <c r="AI20" t="s">
        <v>522</v>
      </c>
    </row>
    <row r="21" spans="1:35">
      <c r="A21" t="s">
        <v>523</v>
      </c>
      <c r="B21" t="s">
        <v>477</v>
      </c>
      <c r="C21" t="s">
        <v>502</v>
      </c>
      <c r="D21" t="s">
        <v>514</v>
      </c>
      <c r="E21" t="s">
        <v>518</v>
      </c>
      <c r="F21" t="s">
        <v>516</v>
      </c>
      <c r="G21" t="s">
        <v>514</v>
      </c>
      <c r="H21" t="s">
        <v>514</v>
      </c>
      <c r="I21" t="s">
        <v>511</v>
      </c>
      <c r="J21" t="s">
        <v>508</v>
      </c>
      <c r="K21" t="s">
        <v>518</v>
      </c>
      <c r="L21" t="s">
        <v>518</v>
      </c>
      <c r="M21" t="s">
        <v>520</v>
      </c>
      <c r="N21" t="s">
        <v>518</v>
      </c>
      <c r="O21" t="s">
        <v>518</v>
      </c>
      <c r="P21" t="s">
        <v>518</v>
      </c>
      <c r="Q21" t="s">
        <v>518</v>
      </c>
      <c r="R21" t="s">
        <v>518</v>
      </c>
      <c r="S21" t="s">
        <v>502</v>
      </c>
      <c r="T21" t="s">
        <v>524</v>
      </c>
      <c r="U21" t="s">
        <v>524</v>
      </c>
      <c r="V21" t="s">
        <v>524</v>
      </c>
      <c r="W21" t="s">
        <v>524</v>
      </c>
      <c r="X21" t="s">
        <v>524</v>
      </c>
      <c r="Y21" t="s">
        <v>524</v>
      </c>
      <c r="Z21" t="s">
        <v>524</v>
      </c>
      <c r="AA21" t="s">
        <v>524</v>
      </c>
      <c r="AB21" t="s">
        <v>524</v>
      </c>
      <c r="AC21" t="s">
        <v>524</v>
      </c>
      <c r="AD21" t="s">
        <v>524</v>
      </c>
      <c r="AE21" t="s">
        <v>524</v>
      </c>
      <c r="AF21" t="s">
        <v>524</v>
      </c>
      <c r="AG21" t="s">
        <v>525</v>
      </c>
      <c r="AH21" t="s">
        <v>524</v>
      </c>
      <c r="AI21" t="s">
        <v>524</v>
      </c>
    </row>
    <row r="22" spans="1:35">
      <c r="A22" t="s">
        <v>526</v>
      </c>
      <c r="B22" t="s">
        <v>483</v>
      </c>
      <c r="C22" t="s">
        <v>505</v>
      </c>
      <c r="D22" t="s">
        <v>516</v>
      </c>
      <c r="E22" t="s">
        <v>520</v>
      </c>
      <c r="F22" t="s">
        <v>518</v>
      </c>
      <c r="G22" t="s">
        <v>516</v>
      </c>
      <c r="H22" t="s">
        <v>516</v>
      </c>
      <c r="I22" t="s">
        <v>514</v>
      </c>
      <c r="J22" t="s">
        <v>511</v>
      </c>
      <c r="K22" t="s">
        <v>520</v>
      </c>
      <c r="L22" t="s">
        <v>520</v>
      </c>
      <c r="M22" t="s">
        <v>522</v>
      </c>
      <c r="N22" t="s">
        <v>520</v>
      </c>
      <c r="O22" t="s">
        <v>520</v>
      </c>
      <c r="P22" t="s">
        <v>520</v>
      </c>
      <c r="Q22" t="s">
        <v>520</v>
      </c>
      <c r="R22" t="s">
        <v>520</v>
      </c>
      <c r="S22" t="s">
        <v>505</v>
      </c>
      <c r="U22" t="s">
        <v>527</v>
      </c>
      <c r="V22" t="s">
        <v>528</v>
      </c>
      <c r="W22" t="s">
        <v>529</v>
      </c>
      <c r="X22" t="s">
        <v>530</v>
      </c>
      <c r="Y22" t="s">
        <v>531</v>
      </c>
      <c r="Z22" t="s">
        <v>532</v>
      </c>
      <c r="AA22" t="s">
        <v>533</v>
      </c>
      <c r="AB22" t="s">
        <v>534</v>
      </c>
      <c r="AC22" t="s">
        <v>535</v>
      </c>
      <c r="AD22" t="s">
        <v>536</v>
      </c>
      <c r="AE22" t="s">
        <v>537</v>
      </c>
      <c r="AF22" t="s">
        <v>538</v>
      </c>
      <c r="AG22" t="s">
        <v>539</v>
      </c>
      <c r="AH22" t="s">
        <v>540</v>
      </c>
      <c r="AI22" t="s">
        <v>541</v>
      </c>
    </row>
    <row r="23" spans="1:35">
      <c r="A23" t="s">
        <v>542</v>
      </c>
      <c r="B23" t="s">
        <v>489</v>
      </c>
      <c r="C23" t="s">
        <v>508</v>
      </c>
      <c r="D23" t="s">
        <v>518</v>
      </c>
      <c r="E23" t="s">
        <v>522</v>
      </c>
      <c r="F23" t="s">
        <v>520</v>
      </c>
      <c r="G23" t="s">
        <v>518</v>
      </c>
      <c r="H23" t="s">
        <v>518</v>
      </c>
      <c r="I23" t="s">
        <v>516</v>
      </c>
      <c r="J23" t="s">
        <v>514</v>
      </c>
      <c r="K23" t="s">
        <v>522</v>
      </c>
      <c r="L23" t="s">
        <v>522</v>
      </c>
      <c r="N23" t="s">
        <v>522</v>
      </c>
      <c r="O23" t="s">
        <v>522</v>
      </c>
      <c r="P23" t="s">
        <v>522</v>
      </c>
      <c r="Q23" t="s">
        <v>522</v>
      </c>
      <c r="R23" t="s">
        <v>522</v>
      </c>
      <c r="S23" t="s">
        <v>508</v>
      </c>
      <c r="U23" t="s">
        <v>543</v>
      </c>
      <c r="V23" t="s">
        <v>544</v>
      </c>
      <c r="W23" t="s">
        <v>545</v>
      </c>
      <c r="X23" t="s">
        <v>546</v>
      </c>
      <c r="Y23" t="s">
        <v>547</v>
      </c>
      <c r="Z23" t="s">
        <v>548</v>
      </c>
      <c r="AA23" t="s">
        <v>549</v>
      </c>
      <c r="AB23" t="s">
        <v>550</v>
      </c>
      <c r="AC23" t="s">
        <v>551</v>
      </c>
      <c r="AD23" t="s">
        <v>552</v>
      </c>
      <c r="AE23" t="s">
        <v>553</v>
      </c>
      <c r="AF23" t="s">
        <v>554</v>
      </c>
      <c r="AG23" t="s">
        <v>555</v>
      </c>
      <c r="AH23" t="s">
        <v>556</v>
      </c>
      <c r="AI23" t="s">
        <v>557</v>
      </c>
    </row>
    <row r="24" spans="1:35">
      <c r="A24" t="s">
        <v>558</v>
      </c>
      <c r="B24" t="s">
        <v>494</v>
      </c>
      <c r="C24" t="s">
        <v>511</v>
      </c>
      <c r="D24" t="s">
        <v>520</v>
      </c>
      <c r="F24" t="s">
        <v>522</v>
      </c>
      <c r="G24" t="s">
        <v>520</v>
      </c>
      <c r="H24" t="s">
        <v>520</v>
      </c>
      <c r="I24" t="s">
        <v>518</v>
      </c>
      <c r="J24" t="s">
        <v>516</v>
      </c>
      <c r="S24" t="s">
        <v>511</v>
      </c>
      <c r="U24" t="s">
        <v>559</v>
      </c>
      <c r="V24" t="s">
        <v>560</v>
      </c>
      <c r="W24" t="s">
        <v>561</v>
      </c>
      <c r="Y24" t="s">
        <v>562</v>
      </c>
      <c r="Z24" t="s">
        <v>563</v>
      </c>
      <c r="AB24" t="s">
        <v>564</v>
      </c>
      <c r="AC24" t="s">
        <v>565</v>
      </c>
      <c r="AE24" t="s">
        <v>566</v>
      </c>
      <c r="AF24" t="s">
        <v>567</v>
      </c>
      <c r="AG24" t="s">
        <v>568</v>
      </c>
      <c r="AH24" t="s">
        <v>569</v>
      </c>
      <c r="AI24" t="s">
        <v>570</v>
      </c>
    </row>
    <row r="25" spans="1:35">
      <c r="A25" t="s">
        <v>571</v>
      </c>
      <c r="B25" t="s">
        <v>499</v>
      </c>
      <c r="C25" t="s">
        <v>514</v>
      </c>
      <c r="D25" t="s">
        <v>522</v>
      </c>
      <c r="G25" t="s">
        <v>522</v>
      </c>
      <c r="H25" t="s">
        <v>522</v>
      </c>
      <c r="I25" t="s">
        <v>520</v>
      </c>
      <c r="J25" t="s">
        <v>518</v>
      </c>
      <c r="S25" t="s">
        <v>514</v>
      </c>
      <c r="U25" t="s">
        <v>572</v>
      </c>
      <c r="V25" t="s">
        <v>573</v>
      </c>
      <c r="Y25" t="s">
        <v>574</v>
      </c>
      <c r="AE25" t="s">
        <v>575</v>
      </c>
    </row>
    <row r="26" spans="1:35">
      <c r="A26" t="s">
        <v>576</v>
      </c>
      <c r="B26" t="s">
        <v>502</v>
      </c>
      <c r="C26" t="s">
        <v>516</v>
      </c>
      <c r="I26" t="s">
        <v>522</v>
      </c>
      <c r="J26" t="s">
        <v>520</v>
      </c>
      <c r="S26" t="s">
        <v>516</v>
      </c>
      <c r="U26" t="s">
        <v>577</v>
      </c>
      <c r="V26" t="s">
        <v>578</v>
      </c>
    </row>
    <row r="27" spans="1:35">
      <c r="A27" t="s">
        <v>579</v>
      </c>
      <c r="B27" t="s">
        <v>505</v>
      </c>
      <c r="C27" t="s">
        <v>518</v>
      </c>
      <c r="J27" t="s">
        <v>522</v>
      </c>
      <c r="S27" t="s">
        <v>518</v>
      </c>
      <c r="U27" t="s">
        <v>580</v>
      </c>
    </row>
    <row r="28" spans="1:35">
      <c r="A28" t="s">
        <v>581</v>
      </c>
      <c r="B28" t="s">
        <v>508</v>
      </c>
      <c r="C28" t="s">
        <v>520</v>
      </c>
      <c r="S28" t="s">
        <v>520</v>
      </c>
    </row>
    <row r="29" spans="1:35">
      <c r="A29" t="s">
        <v>582</v>
      </c>
      <c r="B29" t="s">
        <v>511</v>
      </c>
      <c r="C29" t="s">
        <v>522</v>
      </c>
      <c r="P29" s="114" t="s">
        <v>322</v>
      </c>
      <c r="S29" t="s">
        <v>522</v>
      </c>
    </row>
    <row r="30" spans="1:35">
      <c r="A30" t="s">
        <v>583</v>
      </c>
      <c r="B30" t="s">
        <v>514</v>
      </c>
      <c r="P30" s="130" t="s">
        <v>229</v>
      </c>
      <c r="S30" t="s">
        <v>524</v>
      </c>
    </row>
    <row r="31" spans="1:35">
      <c r="A31" t="s">
        <v>583</v>
      </c>
      <c r="B31" t="s">
        <v>516</v>
      </c>
      <c r="P31" s="130" t="s">
        <v>167</v>
      </c>
    </row>
    <row r="32" spans="1:35">
      <c r="A32" t="s">
        <v>584</v>
      </c>
      <c r="B32" t="s">
        <v>518</v>
      </c>
      <c r="P32" s="114" t="s">
        <v>61</v>
      </c>
    </row>
    <row r="33" spans="1:16">
      <c r="A33" t="s">
        <v>585</v>
      </c>
      <c r="B33" t="s">
        <v>520</v>
      </c>
      <c r="P33" s="130" t="s">
        <v>230</v>
      </c>
    </row>
    <row r="34" spans="1:16">
      <c r="A34" t="s">
        <v>586</v>
      </c>
      <c r="B34" t="s">
        <v>522</v>
      </c>
      <c r="P34" s="130" t="s">
        <v>165</v>
      </c>
    </row>
    <row r="35" spans="1:16">
      <c r="A35" t="s">
        <v>587</v>
      </c>
      <c r="P35" s="114" t="s">
        <v>120</v>
      </c>
    </row>
    <row r="36" spans="1:16">
      <c r="A36" t="s">
        <v>588</v>
      </c>
      <c r="P36" s="114" t="s">
        <v>155</v>
      </c>
    </row>
    <row r="37" spans="1:16">
      <c r="A37" t="s">
        <v>589</v>
      </c>
      <c r="P37" s="130" t="s">
        <v>187</v>
      </c>
    </row>
    <row r="38" spans="1:16">
      <c r="A38" t="s">
        <v>590</v>
      </c>
      <c r="P38" s="114" t="s">
        <v>139</v>
      </c>
    </row>
    <row r="39" spans="1:16">
      <c r="A39" t="s">
        <v>591</v>
      </c>
      <c r="P39" s="114" t="s">
        <v>146</v>
      </c>
    </row>
    <row r="40" spans="1:16">
      <c r="A40" t="s">
        <v>592</v>
      </c>
      <c r="P40" s="67" t="s">
        <v>90</v>
      </c>
    </row>
    <row r="41" spans="1:16">
      <c r="A41" t="s">
        <v>593</v>
      </c>
      <c r="P41" s="67" t="s">
        <v>323</v>
      </c>
    </row>
    <row r="42" spans="1:16">
      <c r="A42" t="s">
        <v>594</v>
      </c>
      <c r="P42" s="67" t="s">
        <v>161</v>
      </c>
    </row>
    <row r="43" spans="1:16">
      <c r="A43" t="s">
        <v>595</v>
      </c>
      <c r="P43" s="67" t="s">
        <v>154</v>
      </c>
    </row>
    <row r="44" spans="1:16">
      <c r="A44" t="s">
        <v>596</v>
      </c>
      <c r="P44" s="131" t="s">
        <v>177</v>
      </c>
    </row>
    <row r="45" spans="1:16">
      <c r="A45" t="s">
        <v>597</v>
      </c>
      <c r="P45" s="67" t="s">
        <v>142</v>
      </c>
    </row>
    <row r="46" spans="1:16">
      <c r="A46" t="s">
        <v>598</v>
      </c>
      <c r="P46" s="67" t="s">
        <v>136</v>
      </c>
    </row>
    <row r="47" spans="1:16">
      <c r="A47" t="s">
        <v>589</v>
      </c>
      <c r="P47" s="131" t="s">
        <v>168</v>
      </c>
    </row>
    <row r="48" spans="1:16">
      <c r="A48" t="s">
        <v>599</v>
      </c>
      <c r="P48" s="131" t="s">
        <v>184</v>
      </c>
    </row>
    <row r="49" spans="1:16">
      <c r="A49" t="s">
        <v>600</v>
      </c>
      <c r="P49" s="67" t="s">
        <v>171</v>
      </c>
    </row>
    <row r="50" spans="1:16">
      <c r="P50" s="67" t="s">
        <v>89</v>
      </c>
    </row>
    <row r="51" spans="1:16">
      <c r="P51" s="67" t="s">
        <v>159</v>
      </c>
    </row>
    <row r="52" spans="1:16">
      <c r="P52" s="67" t="s">
        <v>176</v>
      </c>
    </row>
    <row r="53" spans="1:16">
      <c r="P53" s="67" t="s">
        <v>119</v>
      </c>
    </row>
    <row r="54" spans="1:16">
      <c r="P54" s="131" t="s">
        <v>183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67BA-72A5-4899-A0C7-523BC56E4165}">
  <sheetPr>
    <tabColor rgb="FF00B0F0"/>
  </sheetPr>
  <dimension ref="A1:I28"/>
  <sheetViews>
    <sheetView workbookViewId="0">
      <selection activeCell="A2" sqref="A2:A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9">
      <c r="A1" t="s">
        <v>212</v>
      </c>
      <c r="B1" t="s">
        <v>265</v>
      </c>
    </row>
    <row r="2" spans="1:9">
      <c r="A2" s="114" t="s">
        <v>322</v>
      </c>
      <c r="B2">
        <v>0.94</v>
      </c>
      <c r="I2" s="5"/>
    </row>
    <row r="3" spans="1:9">
      <c r="A3" s="114" t="s">
        <v>229</v>
      </c>
      <c r="B3">
        <v>0.93799999999999994</v>
      </c>
      <c r="I3" s="5"/>
    </row>
    <row r="4" spans="1:9">
      <c r="A4" s="114" t="s">
        <v>167</v>
      </c>
      <c r="B4">
        <v>0.92</v>
      </c>
      <c r="I4" s="5"/>
    </row>
    <row r="5" spans="1:9">
      <c r="A5" s="114" t="s">
        <v>61</v>
      </c>
      <c r="B5">
        <v>0.68500000000000005</v>
      </c>
      <c r="I5" s="5"/>
    </row>
    <row r="6" spans="1:9">
      <c r="A6" s="114" t="s">
        <v>230</v>
      </c>
      <c r="B6">
        <v>0.94599999999999995</v>
      </c>
      <c r="I6" s="5"/>
    </row>
    <row r="7" spans="1:9">
      <c r="A7" s="114" t="s">
        <v>165</v>
      </c>
      <c r="B7">
        <v>0.91500000000000004</v>
      </c>
      <c r="I7" s="5"/>
    </row>
    <row r="8" spans="1:9">
      <c r="A8" s="114" t="s">
        <v>120</v>
      </c>
      <c r="B8">
        <v>0.79700000000000004</v>
      </c>
      <c r="I8" s="5"/>
    </row>
    <row r="9" spans="1:9">
      <c r="A9" s="114" t="s">
        <v>155</v>
      </c>
      <c r="B9">
        <v>0.9</v>
      </c>
      <c r="I9" s="5"/>
    </row>
    <row r="10" spans="1:9">
      <c r="A10" s="114" t="s">
        <v>187</v>
      </c>
      <c r="B10">
        <v>0.95899999999999996</v>
      </c>
      <c r="I10" s="5"/>
    </row>
    <row r="11" spans="1:9">
      <c r="A11" s="114" t="s">
        <v>139</v>
      </c>
      <c r="B11">
        <v>0.83199999999999996</v>
      </c>
      <c r="I11" s="5"/>
    </row>
    <row r="12" spans="1:9">
      <c r="A12" s="114" t="s">
        <v>146</v>
      </c>
      <c r="B12">
        <v>0.85199999999999998</v>
      </c>
      <c r="I12" s="5"/>
    </row>
    <row r="13" spans="1:9">
      <c r="A13" s="67" t="s">
        <v>90</v>
      </c>
      <c r="B13">
        <v>0.754</v>
      </c>
      <c r="I13" s="5"/>
    </row>
    <row r="14" spans="1:9">
      <c r="A14" s="67" t="s">
        <v>323</v>
      </c>
      <c r="B14">
        <v>0.74</v>
      </c>
      <c r="I14" s="5"/>
    </row>
    <row r="15" spans="1:9">
      <c r="A15" s="67" t="s">
        <v>161</v>
      </c>
      <c r="B15">
        <v>0.89900000000000002</v>
      </c>
      <c r="I15" s="5"/>
    </row>
    <row r="16" spans="1:9">
      <c r="A16" s="67" t="s">
        <v>154</v>
      </c>
      <c r="B16">
        <v>0.88600000000000001</v>
      </c>
      <c r="I16" s="5"/>
    </row>
    <row r="17" spans="1:9">
      <c r="A17" s="67" t="s">
        <v>177</v>
      </c>
      <c r="B17">
        <v>0.93899999999999995</v>
      </c>
      <c r="I17" s="5"/>
    </row>
    <row r="18" spans="1:9">
      <c r="A18" s="67" t="s">
        <v>142</v>
      </c>
      <c r="B18">
        <v>0.84499999999999997</v>
      </c>
      <c r="I18" s="5"/>
    </row>
    <row r="19" spans="1:9">
      <c r="A19" s="67" t="s">
        <v>136</v>
      </c>
      <c r="B19">
        <v>0.85799999999999998</v>
      </c>
      <c r="I19" s="5"/>
    </row>
    <row r="20" spans="1:9">
      <c r="A20" s="67" t="s">
        <v>168</v>
      </c>
      <c r="B20">
        <v>0.91800000000000004</v>
      </c>
      <c r="I20" s="5"/>
    </row>
    <row r="21" spans="1:9">
      <c r="A21" s="67" t="s">
        <v>184</v>
      </c>
      <c r="B21">
        <v>0.95499999999999996</v>
      </c>
    </row>
    <row r="22" spans="1:9">
      <c r="A22" s="67" t="s">
        <v>171</v>
      </c>
      <c r="B22">
        <v>0.92500000000000004</v>
      </c>
    </row>
    <row r="23" spans="1:9">
      <c r="A23" t="s">
        <v>89</v>
      </c>
      <c r="B23">
        <v>0.74</v>
      </c>
    </row>
    <row r="24" spans="1:9">
      <c r="A24" s="67" t="s">
        <v>159</v>
      </c>
      <c r="B24">
        <v>0.90600000000000003</v>
      </c>
    </row>
    <row r="25" spans="1:9">
      <c r="A25" s="67" t="s">
        <v>176</v>
      </c>
      <c r="B25">
        <v>0.93700000000000006</v>
      </c>
    </row>
    <row r="26" spans="1:9">
      <c r="A26" s="67" t="s">
        <v>119</v>
      </c>
      <c r="B26">
        <v>0.81100000000000005</v>
      </c>
    </row>
    <row r="27" spans="1:9">
      <c r="A27" s="67" t="s">
        <v>183</v>
      </c>
      <c r="B27">
        <v>0.95099999999999996</v>
      </c>
    </row>
    <row r="28" spans="1:9">
      <c r="A28" s="6" t="s">
        <v>239</v>
      </c>
      <c r="B28" s="9" t="s">
        <v>266</v>
      </c>
    </row>
  </sheetData>
  <hyperlinks>
    <hyperlink ref="B28" r:id="rId1" xr:uid="{988F4548-F5B2-48BC-8E75-89CA501CF6B9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1936-5F99-4D16-9A05-86C03BA65BE9}">
  <sheetPr>
    <tabColor rgb="FF00B0F0"/>
  </sheetPr>
  <dimension ref="A1:K28"/>
  <sheetViews>
    <sheetView workbookViewId="0">
      <selection activeCell="B1" sqref="B1:B27"/>
    </sheetView>
  </sheetViews>
  <sheetFormatPr baseColWidth="10" defaultColWidth="8.83203125" defaultRowHeight="15"/>
  <cols>
    <col min="1" max="1" width="14.5" bestFit="1" customWidth="1"/>
    <col min="2" max="2" width="24.83203125" bestFit="1" customWidth="1"/>
    <col min="6" max="6" width="14.5" bestFit="1" customWidth="1"/>
    <col min="7" max="7" width="14.5" customWidth="1"/>
  </cols>
  <sheetData>
    <row r="1" spans="1:11">
      <c r="A1" t="s">
        <v>212</v>
      </c>
      <c r="B1" t="s">
        <v>267</v>
      </c>
    </row>
    <row r="2" spans="1:11">
      <c r="A2" s="114" t="s">
        <v>322</v>
      </c>
      <c r="B2">
        <v>49377.5643384379</v>
      </c>
      <c r="K2" s="5"/>
    </row>
    <row r="3" spans="1:11">
      <c r="A3" s="114" t="s">
        <v>229</v>
      </c>
      <c r="B3">
        <v>85809.900384635606</v>
      </c>
      <c r="K3" s="5"/>
    </row>
    <row r="4" spans="1:11">
      <c r="A4" s="114" t="s">
        <v>167</v>
      </c>
      <c r="B4">
        <v>46150.4876861593</v>
      </c>
      <c r="K4" s="5"/>
    </row>
    <row r="5" spans="1:11">
      <c r="A5" s="114" t="s">
        <v>61</v>
      </c>
      <c r="B5">
        <v>2696.6638998446301</v>
      </c>
      <c r="K5" s="5"/>
    </row>
    <row r="6" spans="1:11">
      <c r="A6" s="114" t="s">
        <v>230</v>
      </c>
      <c r="B6">
        <v>52636.786594385303</v>
      </c>
      <c r="K6" s="5"/>
    </row>
    <row r="7" spans="1:11">
      <c r="A7" s="114" t="s">
        <v>165</v>
      </c>
      <c r="B7">
        <v>40226.0472416173</v>
      </c>
      <c r="K7" s="5"/>
    </row>
    <row r="8" spans="1:11">
      <c r="A8" s="114" t="s">
        <v>120</v>
      </c>
      <c r="B8">
        <v>13303.148154386799</v>
      </c>
      <c r="K8" s="5"/>
    </row>
    <row r="9" spans="1:11">
      <c r="A9" s="114" t="s">
        <v>155</v>
      </c>
      <c r="B9">
        <v>35057.225230696902</v>
      </c>
      <c r="K9" s="5"/>
    </row>
    <row r="10" spans="1:11">
      <c r="A10" s="114" t="s">
        <v>187</v>
      </c>
      <c r="B10">
        <v>55800.219454941202</v>
      </c>
      <c r="K10" s="5"/>
    </row>
    <row r="11" spans="1:11">
      <c r="A11" s="114" t="s">
        <v>139</v>
      </c>
      <c r="B11">
        <v>14889.0185546875</v>
      </c>
      <c r="K11" s="5"/>
    </row>
    <row r="12" spans="1:11">
      <c r="A12" s="114" t="s">
        <v>146</v>
      </c>
      <c r="B12">
        <v>32213.862229231599</v>
      </c>
      <c r="K12" s="5"/>
    </row>
    <row r="13" spans="1:11">
      <c r="A13" s="67" t="s">
        <v>90</v>
      </c>
      <c r="B13">
        <v>3338.4737139589502</v>
      </c>
      <c r="K13" s="5"/>
    </row>
    <row r="14" spans="1:11">
      <c r="A14" s="128" t="s">
        <v>323</v>
      </c>
      <c r="B14">
        <v>3161.7001063287498</v>
      </c>
      <c r="K14" s="5"/>
    </row>
    <row r="15" spans="1:11">
      <c r="A15" s="67" t="s">
        <v>161</v>
      </c>
      <c r="B15">
        <v>30048.2177718844</v>
      </c>
      <c r="K15" s="5"/>
    </row>
    <row r="16" spans="1:11">
      <c r="A16" s="67" t="s">
        <v>154</v>
      </c>
      <c r="B16">
        <v>76275.9076782833</v>
      </c>
      <c r="K16" s="5"/>
    </row>
    <row r="17" spans="1:11">
      <c r="A17" s="67" t="s">
        <v>177</v>
      </c>
      <c r="B17">
        <v>54282.617605173298</v>
      </c>
      <c r="K17" s="5"/>
    </row>
    <row r="18" spans="1:11">
      <c r="A18" s="67" t="s">
        <v>142</v>
      </c>
      <c r="B18">
        <v>20072.4079244042</v>
      </c>
      <c r="K18" s="5"/>
    </row>
    <row r="19" spans="1:11">
      <c r="A19" s="67" t="s">
        <v>136</v>
      </c>
      <c r="B19">
        <v>20248.4168124608</v>
      </c>
      <c r="K19" s="5"/>
    </row>
    <row r="20" spans="1:11">
      <c r="A20" s="67" t="s">
        <v>168</v>
      </c>
      <c r="B20">
        <v>35297.009499556501</v>
      </c>
      <c r="K20" s="5"/>
    </row>
    <row r="21" spans="1:11">
      <c r="A21" s="67" t="s">
        <v>184</v>
      </c>
      <c r="B21">
        <v>68218.7261019406</v>
      </c>
    </row>
    <row r="22" spans="1:11">
      <c r="A22" s="67" t="s">
        <v>171</v>
      </c>
      <c r="B22">
        <v>32475.892499219099</v>
      </c>
    </row>
    <row r="23" spans="1:11">
      <c r="A23" t="s">
        <v>89</v>
      </c>
      <c r="B23">
        <v>3161.7001063287498</v>
      </c>
    </row>
    <row r="24" spans="1:11">
      <c r="A24" s="67" t="s">
        <v>159</v>
      </c>
      <c r="B24">
        <v>25022.671644595299</v>
      </c>
    </row>
    <row r="25" spans="1:11">
      <c r="A25" s="67" t="s">
        <v>176</v>
      </c>
      <c r="B25">
        <v>33121.371288550799</v>
      </c>
    </row>
    <row r="26" spans="1:11">
      <c r="A26" s="67" t="s">
        <v>119</v>
      </c>
      <c r="B26">
        <v>8500.6052248671895</v>
      </c>
    </row>
    <row r="27" spans="1:11">
      <c r="A27" s="67" t="s">
        <v>183</v>
      </c>
      <c r="B27">
        <v>55954.610626101799</v>
      </c>
    </row>
    <row r="28" spans="1:11">
      <c r="A28" s="6" t="s">
        <v>239</v>
      </c>
      <c r="B28" s="6" t="s">
        <v>268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3D4E-FF43-487B-955D-A5C7CA264724}">
  <sheetPr>
    <tabColor rgb="FF00B0F0"/>
  </sheetPr>
  <dimension ref="A1:B27"/>
  <sheetViews>
    <sheetView workbookViewId="0">
      <selection activeCell="J23" sqref="J23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212</v>
      </c>
      <c r="B1" t="s">
        <v>269</v>
      </c>
    </row>
    <row r="2" spans="1:2">
      <c r="A2" s="114" t="s">
        <v>322</v>
      </c>
      <c r="B2" s="121">
        <v>22037</v>
      </c>
    </row>
    <row r="3" spans="1:2">
      <c r="A3" s="114" t="s">
        <v>229</v>
      </c>
      <c r="B3" s="121">
        <v>67468</v>
      </c>
    </row>
    <row r="4" spans="1:2">
      <c r="A4" s="114" t="s">
        <v>167</v>
      </c>
      <c r="B4" s="121">
        <v>48072</v>
      </c>
    </row>
    <row r="5" spans="1:2">
      <c r="A5" s="114" t="s">
        <v>61</v>
      </c>
      <c r="B5" s="121">
        <v>10475</v>
      </c>
    </row>
    <row r="6" spans="1:2">
      <c r="A6" s="114" t="s">
        <v>230</v>
      </c>
      <c r="B6" s="121">
        <v>45486</v>
      </c>
    </row>
    <row r="7" spans="1:2">
      <c r="A7" s="114" t="s">
        <v>165</v>
      </c>
      <c r="B7" s="121">
        <v>43390</v>
      </c>
    </row>
    <row r="8" spans="1:2">
      <c r="A8" s="114" t="s">
        <v>120</v>
      </c>
      <c r="B8" s="121">
        <v>11434</v>
      </c>
    </row>
    <row r="9" spans="1:2">
      <c r="A9" s="114" t="s">
        <v>155</v>
      </c>
      <c r="B9" s="121">
        <v>18257</v>
      </c>
    </row>
    <row r="10" spans="1:2">
      <c r="A10" s="114" t="s">
        <v>187</v>
      </c>
      <c r="B10" s="121">
        <v>55055</v>
      </c>
    </row>
    <row r="11" spans="1:2">
      <c r="A11" s="114" t="s">
        <v>139</v>
      </c>
      <c r="B11" s="121">
        <v>15400</v>
      </c>
    </row>
    <row r="12" spans="1:2">
      <c r="A12" s="114" t="s">
        <v>146</v>
      </c>
      <c r="B12" s="121">
        <v>35600</v>
      </c>
    </row>
    <row r="13" spans="1:2">
      <c r="A13" s="67" t="s">
        <v>90</v>
      </c>
      <c r="B13" s="121">
        <v>12500</v>
      </c>
    </row>
    <row r="14" spans="1:2">
      <c r="A14" s="67" t="s">
        <v>323</v>
      </c>
      <c r="B14" s="121">
        <v>13348</v>
      </c>
    </row>
    <row r="15" spans="1:2">
      <c r="A15" s="67" t="s">
        <v>161</v>
      </c>
      <c r="B15" s="121">
        <v>56393</v>
      </c>
    </row>
    <row r="16" spans="1:2">
      <c r="A16" s="67" t="s">
        <v>154</v>
      </c>
      <c r="B16" s="121">
        <v>45560</v>
      </c>
    </row>
    <row r="17" spans="1:2">
      <c r="A17" s="67" t="s">
        <v>177</v>
      </c>
      <c r="B17" s="121">
        <v>45345</v>
      </c>
    </row>
    <row r="18" spans="1:2">
      <c r="A18" s="67" t="s">
        <v>142</v>
      </c>
      <c r="B18" s="121">
        <v>16660</v>
      </c>
    </row>
    <row r="19" spans="1:2">
      <c r="A19" s="67" t="s">
        <v>136</v>
      </c>
      <c r="B19" s="121">
        <v>20470</v>
      </c>
    </row>
    <row r="20" spans="1:2">
      <c r="A20" s="67" t="s">
        <v>168</v>
      </c>
      <c r="B20" s="121">
        <v>39965</v>
      </c>
    </row>
    <row r="21" spans="1:2">
      <c r="A21" s="67" t="s">
        <v>184</v>
      </c>
      <c r="B21" s="121">
        <v>50920</v>
      </c>
    </row>
    <row r="22" spans="1:2">
      <c r="A22" s="67" t="s">
        <v>171</v>
      </c>
      <c r="B22" s="121">
        <v>38010</v>
      </c>
    </row>
    <row r="23" spans="1:2">
      <c r="A23" t="s">
        <v>89</v>
      </c>
      <c r="B23" s="121">
        <v>2220</v>
      </c>
    </row>
    <row r="24" spans="1:2">
      <c r="A24" s="67" t="s">
        <v>159</v>
      </c>
      <c r="B24" s="121">
        <v>33089</v>
      </c>
    </row>
    <row r="25" spans="1:2">
      <c r="A25" s="67" t="s">
        <v>176</v>
      </c>
      <c r="B25" s="121">
        <v>35083</v>
      </c>
    </row>
    <row r="26" spans="1:2">
      <c r="A26" s="67" t="s">
        <v>119</v>
      </c>
      <c r="B26" s="121">
        <v>2220</v>
      </c>
    </row>
    <row r="27" spans="1:2">
      <c r="A27" s="67" t="s">
        <v>183</v>
      </c>
      <c r="B27" s="121">
        <v>49749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9C59-7D14-4F20-943B-341E4BCBCD01}">
  <dimension ref="A1:E197"/>
  <sheetViews>
    <sheetView workbookViewId="0">
      <selection activeCell="E2" sqref="E2"/>
    </sheetView>
  </sheetViews>
  <sheetFormatPr baseColWidth="10" defaultColWidth="8.83203125" defaultRowHeight="15"/>
  <cols>
    <col min="1" max="1" width="15.5" bestFit="1" customWidth="1"/>
  </cols>
  <sheetData>
    <row r="1" spans="1:5">
      <c r="A1" t="s">
        <v>271</v>
      </c>
      <c r="B1" t="s">
        <v>272</v>
      </c>
    </row>
    <row r="2" spans="1:5">
      <c r="A2" t="s">
        <v>61</v>
      </c>
      <c r="B2">
        <v>1428.63</v>
      </c>
      <c r="D2" t="s">
        <v>239</v>
      </c>
      <c r="E2" t="s">
        <v>263</v>
      </c>
    </row>
    <row r="3" spans="1:5">
      <c r="A3" t="s">
        <v>120</v>
      </c>
      <c r="B3">
        <v>1410.71</v>
      </c>
    </row>
    <row r="4" spans="1:5">
      <c r="A4" t="s">
        <v>175</v>
      </c>
      <c r="B4">
        <v>334.91</v>
      </c>
    </row>
    <row r="5" spans="1:5">
      <c r="A5" t="s">
        <v>83</v>
      </c>
      <c r="B5">
        <v>277.52999999999997</v>
      </c>
    </row>
    <row r="6" spans="1:5">
      <c r="A6" t="s">
        <v>30</v>
      </c>
      <c r="B6">
        <v>240.49</v>
      </c>
    </row>
    <row r="7" spans="1:5">
      <c r="A7" t="s">
        <v>33</v>
      </c>
      <c r="B7">
        <v>223.8</v>
      </c>
    </row>
    <row r="8" spans="1:5">
      <c r="A8" t="s">
        <v>106</v>
      </c>
      <c r="B8">
        <v>216.42</v>
      </c>
    </row>
    <row r="9" spans="1:5">
      <c r="A9" t="s">
        <v>66</v>
      </c>
      <c r="B9">
        <v>172.95</v>
      </c>
    </row>
    <row r="10" spans="1:5">
      <c r="A10" t="s">
        <v>139</v>
      </c>
      <c r="B10">
        <v>143.83000000000001</v>
      </c>
    </row>
    <row r="11" spans="1:5">
      <c r="A11" t="s">
        <v>118</v>
      </c>
      <c r="B11">
        <v>128.46</v>
      </c>
    </row>
    <row r="12" spans="1:5">
      <c r="A12" t="s">
        <v>19</v>
      </c>
      <c r="B12">
        <v>126.53</v>
      </c>
    </row>
    <row r="13" spans="1:5">
      <c r="A13" t="s">
        <v>171</v>
      </c>
      <c r="B13">
        <v>124.52</v>
      </c>
    </row>
    <row r="14" spans="1:5">
      <c r="A14" t="s">
        <v>82</v>
      </c>
      <c r="B14">
        <v>117.34</v>
      </c>
    </row>
    <row r="15" spans="1:5">
      <c r="A15" t="s">
        <v>90</v>
      </c>
      <c r="B15">
        <v>112.72</v>
      </c>
    </row>
    <row r="16" spans="1:5">
      <c r="A16" t="s">
        <v>15</v>
      </c>
      <c r="B16">
        <v>102.26</v>
      </c>
    </row>
    <row r="17" spans="1:2">
      <c r="A17" t="s">
        <v>88</v>
      </c>
      <c r="B17">
        <v>98.86</v>
      </c>
    </row>
    <row r="18" spans="1:2">
      <c r="A18" t="s">
        <v>117</v>
      </c>
      <c r="B18">
        <v>89.17</v>
      </c>
    </row>
    <row r="19" spans="1:2">
      <c r="A19" t="s">
        <v>149</v>
      </c>
      <c r="B19">
        <v>85.33</v>
      </c>
    </row>
    <row r="20" spans="1:2">
      <c r="A20" t="s">
        <v>187</v>
      </c>
      <c r="B20">
        <v>84.48</v>
      </c>
    </row>
    <row r="21" spans="1:2">
      <c r="A21" t="s">
        <v>129</v>
      </c>
      <c r="B21">
        <v>71.8</v>
      </c>
    </row>
    <row r="22" spans="1:2">
      <c r="A22" t="s">
        <v>180</v>
      </c>
      <c r="B22">
        <v>68.349999999999994</v>
      </c>
    </row>
    <row r="23" spans="1:2">
      <c r="A23" t="s">
        <v>167</v>
      </c>
      <c r="B23">
        <v>68.17</v>
      </c>
    </row>
    <row r="24" spans="1:2">
      <c r="A24" t="s">
        <v>28</v>
      </c>
      <c r="B24">
        <v>67.44</v>
      </c>
    </row>
    <row r="25" spans="1:2">
      <c r="A25" t="s">
        <v>85</v>
      </c>
      <c r="B25">
        <v>60.41</v>
      </c>
    </row>
    <row r="26" spans="1:2">
      <c r="A26" t="s">
        <v>165</v>
      </c>
      <c r="B26">
        <v>58.76</v>
      </c>
    </row>
    <row r="27" spans="1:2">
      <c r="A27" t="s">
        <v>49</v>
      </c>
      <c r="B27">
        <v>55.1</v>
      </c>
    </row>
    <row r="28" spans="1:2">
      <c r="A28" t="s">
        <v>273</v>
      </c>
      <c r="B28">
        <v>54.58</v>
      </c>
    </row>
    <row r="29" spans="1:2">
      <c r="A29" t="s">
        <v>104</v>
      </c>
      <c r="B29">
        <v>52.09</v>
      </c>
    </row>
    <row r="30" spans="1:2">
      <c r="A30" t="s">
        <v>176</v>
      </c>
      <c r="B30">
        <v>51.71</v>
      </c>
    </row>
    <row r="31" spans="1:2">
      <c r="A31" t="s">
        <v>36</v>
      </c>
      <c r="B31">
        <v>48.58</v>
      </c>
    </row>
    <row r="32" spans="1:2">
      <c r="A32" t="s">
        <v>168</v>
      </c>
      <c r="B32">
        <v>48.37</v>
      </c>
    </row>
    <row r="33" spans="1:2">
      <c r="A33" t="s">
        <v>25</v>
      </c>
      <c r="B33">
        <v>48.11</v>
      </c>
    </row>
    <row r="34" spans="1:2">
      <c r="A34" t="s">
        <v>147</v>
      </c>
      <c r="B34">
        <v>46.65</v>
      </c>
    </row>
    <row r="35" spans="1:2">
      <c r="A35" t="s">
        <v>102</v>
      </c>
      <c r="B35">
        <v>45.61</v>
      </c>
    </row>
    <row r="36" spans="1:2">
      <c r="A36" t="s">
        <v>67</v>
      </c>
      <c r="B36">
        <v>45.5</v>
      </c>
    </row>
    <row r="37" spans="1:2">
      <c r="A37" t="s">
        <v>13</v>
      </c>
      <c r="B37">
        <v>42.24</v>
      </c>
    </row>
    <row r="38" spans="1:2">
      <c r="A38" t="s">
        <v>177</v>
      </c>
      <c r="B38">
        <v>40.1</v>
      </c>
    </row>
    <row r="39" spans="1:2">
      <c r="A39" t="s">
        <v>74</v>
      </c>
      <c r="B39">
        <v>37.840000000000003</v>
      </c>
    </row>
    <row r="40" spans="1:2">
      <c r="A40" t="s">
        <v>95</v>
      </c>
      <c r="B40">
        <v>37</v>
      </c>
    </row>
    <row r="41" spans="1:2">
      <c r="A41" t="s">
        <v>155</v>
      </c>
      <c r="B41">
        <v>36.950000000000003</v>
      </c>
    </row>
    <row r="42" spans="1:2">
      <c r="A42" t="s">
        <v>159</v>
      </c>
      <c r="B42">
        <v>36.69</v>
      </c>
    </row>
    <row r="43" spans="1:2">
      <c r="A43" t="s">
        <v>45</v>
      </c>
      <c r="B43">
        <v>36.68</v>
      </c>
    </row>
    <row r="44" spans="1:2">
      <c r="A44" t="s">
        <v>89</v>
      </c>
      <c r="B44">
        <v>36.409999999999997</v>
      </c>
    </row>
    <row r="45" spans="1:2">
      <c r="A45" t="s">
        <v>9</v>
      </c>
      <c r="B45">
        <v>34.450000000000003</v>
      </c>
    </row>
    <row r="46" spans="1:2">
      <c r="A46" t="s">
        <v>107</v>
      </c>
      <c r="B46">
        <v>34.35</v>
      </c>
    </row>
    <row r="47" spans="1:2">
      <c r="A47" t="s">
        <v>132</v>
      </c>
      <c r="B47">
        <v>34.31</v>
      </c>
    </row>
    <row r="48" spans="1:2">
      <c r="A48" t="s">
        <v>50</v>
      </c>
      <c r="B48">
        <v>34.119999999999997</v>
      </c>
    </row>
    <row r="49" spans="1:2">
      <c r="A49" t="s">
        <v>12</v>
      </c>
      <c r="B49">
        <v>33.9</v>
      </c>
    </row>
    <row r="50" spans="1:2">
      <c r="A50" t="s">
        <v>48</v>
      </c>
      <c r="B50">
        <v>30.9</v>
      </c>
    </row>
    <row r="51" spans="1:2">
      <c r="A51" t="s">
        <v>17</v>
      </c>
      <c r="B51">
        <v>30.33</v>
      </c>
    </row>
    <row r="52" spans="1:2">
      <c r="A52" t="s">
        <v>29</v>
      </c>
      <c r="B52">
        <v>28.87</v>
      </c>
    </row>
    <row r="53" spans="1:2">
      <c r="A53" t="s">
        <v>76</v>
      </c>
      <c r="B53">
        <v>28.84</v>
      </c>
    </row>
    <row r="54" spans="1:2">
      <c r="A54" t="s">
        <v>44</v>
      </c>
      <c r="B54">
        <v>28.65</v>
      </c>
    </row>
    <row r="55" spans="1:2">
      <c r="A55" t="s">
        <v>5</v>
      </c>
      <c r="B55">
        <v>27.2</v>
      </c>
    </row>
    <row r="56" spans="1:2">
      <c r="A56" t="s">
        <v>185</v>
      </c>
      <c r="B56">
        <v>26.64</v>
      </c>
    </row>
    <row r="57" spans="1:2">
      <c r="A57" t="s">
        <v>274</v>
      </c>
      <c r="B57">
        <v>26.16</v>
      </c>
    </row>
    <row r="58" spans="1:2">
      <c r="A58" t="s">
        <v>7</v>
      </c>
      <c r="B58">
        <v>23.29</v>
      </c>
    </row>
    <row r="59" spans="1:2">
      <c r="A59" t="s">
        <v>10</v>
      </c>
      <c r="B59">
        <v>23.25</v>
      </c>
    </row>
    <row r="60" spans="1:2">
      <c r="A60" t="s">
        <v>38</v>
      </c>
      <c r="B60">
        <v>23.23</v>
      </c>
    </row>
    <row r="61" spans="1:2">
      <c r="A61" t="s">
        <v>116</v>
      </c>
      <c r="B61">
        <v>22.04</v>
      </c>
    </row>
    <row r="62" spans="1:2">
      <c r="A62" t="s">
        <v>23</v>
      </c>
      <c r="B62">
        <v>20.93</v>
      </c>
    </row>
    <row r="63" spans="1:2">
      <c r="A63" t="s">
        <v>42</v>
      </c>
      <c r="B63">
        <v>20.57</v>
      </c>
    </row>
    <row r="64" spans="1:2">
      <c r="A64" t="s">
        <v>128</v>
      </c>
      <c r="B64">
        <v>19.899999999999999</v>
      </c>
    </row>
    <row r="65" spans="1:2">
      <c r="A65" t="s">
        <v>151</v>
      </c>
      <c r="B65">
        <v>19.63</v>
      </c>
    </row>
    <row r="66" spans="1:2">
      <c r="A66" t="s">
        <v>142</v>
      </c>
      <c r="B66">
        <v>19.059999999999999</v>
      </c>
    </row>
    <row r="67" spans="1:2">
      <c r="A67" t="s">
        <v>6</v>
      </c>
      <c r="B67">
        <v>18.28</v>
      </c>
    </row>
    <row r="68" spans="1:2">
      <c r="A68" t="s">
        <v>112</v>
      </c>
      <c r="B68">
        <v>18.190000000000001</v>
      </c>
    </row>
    <row r="69" spans="1:2">
      <c r="A69" t="s">
        <v>2</v>
      </c>
      <c r="B69">
        <v>18.14</v>
      </c>
    </row>
    <row r="70" spans="1:2">
      <c r="A70" t="s">
        <v>184</v>
      </c>
      <c r="B70">
        <v>17.88</v>
      </c>
    </row>
    <row r="71" spans="1:2">
      <c r="A71" t="s">
        <v>26</v>
      </c>
      <c r="B71">
        <v>17.760000000000002</v>
      </c>
    </row>
    <row r="72" spans="1:2">
      <c r="A72" t="s">
        <v>59</v>
      </c>
      <c r="B72">
        <v>17.600000000000001</v>
      </c>
    </row>
    <row r="73" spans="1:2">
      <c r="A73" t="s">
        <v>47</v>
      </c>
      <c r="B73">
        <v>16.940000000000001</v>
      </c>
    </row>
    <row r="74" spans="1:2">
      <c r="A74" t="s">
        <v>35</v>
      </c>
      <c r="B74">
        <v>16.670000000000002</v>
      </c>
    </row>
    <row r="75" spans="1:2">
      <c r="A75" t="s">
        <v>14</v>
      </c>
      <c r="B75">
        <v>14.19</v>
      </c>
    </row>
    <row r="76" spans="1:2">
      <c r="A76" t="s">
        <v>34</v>
      </c>
      <c r="B76">
        <v>14.09</v>
      </c>
    </row>
    <row r="77" spans="1:2">
      <c r="A77" t="s">
        <v>22</v>
      </c>
      <c r="B77">
        <v>13.71</v>
      </c>
    </row>
    <row r="78" spans="1:2">
      <c r="A78" t="s">
        <v>8</v>
      </c>
      <c r="B78">
        <v>13.24</v>
      </c>
    </row>
    <row r="79" spans="1:2">
      <c r="A79" t="s">
        <v>94</v>
      </c>
      <c r="B79">
        <v>12.46</v>
      </c>
    </row>
    <row r="80" spans="1:2">
      <c r="A80" t="s">
        <v>75</v>
      </c>
      <c r="B80">
        <v>12.39</v>
      </c>
    </row>
    <row r="81" spans="1:2">
      <c r="A81" t="s">
        <v>183</v>
      </c>
      <c r="B81">
        <v>11.82</v>
      </c>
    </row>
    <row r="82" spans="1:2">
      <c r="A82" t="s">
        <v>37</v>
      </c>
      <c r="B82">
        <v>11.72</v>
      </c>
    </row>
    <row r="83" spans="1:2">
      <c r="A83" t="s">
        <v>96</v>
      </c>
      <c r="B83">
        <v>11.34</v>
      </c>
    </row>
    <row r="84" spans="1:2">
      <c r="A84" t="s">
        <v>275</v>
      </c>
      <c r="B84">
        <v>11.33</v>
      </c>
    </row>
    <row r="85" spans="1:2">
      <c r="A85" t="s">
        <v>248</v>
      </c>
      <c r="B85">
        <v>10.87</v>
      </c>
    </row>
    <row r="86" spans="1:2">
      <c r="A86" t="s">
        <v>57</v>
      </c>
      <c r="B86">
        <v>10.59</v>
      </c>
    </row>
    <row r="87" spans="1:2">
      <c r="A87" t="s">
        <v>189</v>
      </c>
      <c r="B87">
        <v>10.54</v>
      </c>
    </row>
    <row r="88" spans="1:2">
      <c r="A88" t="s">
        <v>153</v>
      </c>
      <c r="B88">
        <v>10.53</v>
      </c>
    </row>
    <row r="89" spans="1:2">
      <c r="A89" t="s">
        <v>162</v>
      </c>
      <c r="B89">
        <v>10.36</v>
      </c>
    </row>
    <row r="90" spans="1:2">
      <c r="A90" t="s">
        <v>276</v>
      </c>
      <c r="B90">
        <v>10.33</v>
      </c>
    </row>
    <row r="91" spans="1:2">
      <c r="A91" t="s">
        <v>69</v>
      </c>
      <c r="B91">
        <v>10.14</v>
      </c>
    </row>
    <row r="92" spans="1:2">
      <c r="A92" t="s">
        <v>105</v>
      </c>
      <c r="B92">
        <v>10.11</v>
      </c>
    </row>
    <row r="93" spans="1:2">
      <c r="A93" t="s">
        <v>170</v>
      </c>
      <c r="B93">
        <v>9.76</v>
      </c>
    </row>
    <row r="94" spans="1:2">
      <c r="A94" t="s">
        <v>148</v>
      </c>
      <c r="B94">
        <v>9.59</v>
      </c>
    </row>
    <row r="95" spans="1:2">
      <c r="A95" t="s">
        <v>277</v>
      </c>
      <c r="B95">
        <v>9.52</v>
      </c>
    </row>
    <row r="96" spans="1:2">
      <c r="A96" t="s">
        <v>126</v>
      </c>
      <c r="B96">
        <v>9.18</v>
      </c>
    </row>
    <row r="97" spans="1:2">
      <c r="A97" t="s">
        <v>172</v>
      </c>
      <c r="B97">
        <v>9.1300000000000008</v>
      </c>
    </row>
    <row r="98" spans="1:2">
      <c r="A98" t="s">
        <v>32</v>
      </c>
      <c r="B98">
        <v>9.0500000000000007</v>
      </c>
    </row>
    <row r="99" spans="1:2">
      <c r="A99" t="s">
        <v>194</v>
      </c>
      <c r="B99">
        <v>8.85</v>
      </c>
    </row>
    <row r="100" spans="1:2">
      <c r="A100" t="s">
        <v>11</v>
      </c>
      <c r="B100">
        <v>8.7899999999999991</v>
      </c>
    </row>
    <row r="101" spans="1:2">
      <c r="A101" t="s">
        <v>56</v>
      </c>
      <c r="B101">
        <v>7.63</v>
      </c>
    </row>
    <row r="102" spans="1:2">
      <c r="A102" t="s">
        <v>191</v>
      </c>
      <c r="B102">
        <v>7.54</v>
      </c>
    </row>
    <row r="103" spans="1:2">
      <c r="A103" t="s">
        <v>78</v>
      </c>
      <c r="B103">
        <v>7.1</v>
      </c>
    </row>
    <row r="104" spans="1:2">
      <c r="A104" t="s">
        <v>65</v>
      </c>
      <c r="B104">
        <v>7.05</v>
      </c>
    </row>
    <row r="105" spans="1:2">
      <c r="A105" t="s">
        <v>103</v>
      </c>
      <c r="B105">
        <v>6.89</v>
      </c>
    </row>
    <row r="106" spans="1:2">
      <c r="A106" t="s">
        <v>92</v>
      </c>
      <c r="B106">
        <v>6.86</v>
      </c>
    </row>
    <row r="107" spans="1:2">
      <c r="A107" t="s">
        <v>130</v>
      </c>
      <c r="B107">
        <v>6.62</v>
      </c>
    </row>
    <row r="108" spans="1:2">
      <c r="A108" t="s">
        <v>101</v>
      </c>
      <c r="B108">
        <v>6.52</v>
      </c>
    </row>
    <row r="109" spans="1:2">
      <c r="A109" t="s">
        <v>125</v>
      </c>
      <c r="B109">
        <v>6.43</v>
      </c>
    </row>
    <row r="110" spans="1:2">
      <c r="A110" t="s">
        <v>68</v>
      </c>
      <c r="B110">
        <v>6.36</v>
      </c>
    </row>
    <row r="111" spans="1:2">
      <c r="A111" t="s">
        <v>278</v>
      </c>
      <c r="B111">
        <v>6.11</v>
      </c>
    </row>
    <row r="112" spans="1:2">
      <c r="A112" t="s">
        <v>190</v>
      </c>
      <c r="B112">
        <v>5.95</v>
      </c>
    </row>
    <row r="113" spans="1:2">
      <c r="A113" t="s">
        <v>186</v>
      </c>
      <c r="B113">
        <v>5.92</v>
      </c>
    </row>
    <row r="114" spans="1:2">
      <c r="A114" t="s">
        <v>279</v>
      </c>
      <c r="B114">
        <v>5.74</v>
      </c>
    </row>
    <row r="115" spans="1:2">
      <c r="A115" t="s">
        <v>182</v>
      </c>
      <c r="B115">
        <v>5.58</v>
      </c>
    </row>
    <row r="116" spans="1:2">
      <c r="A116" t="s">
        <v>193</v>
      </c>
      <c r="B116">
        <v>5.52</v>
      </c>
    </row>
    <row r="117" spans="1:2">
      <c r="A117" t="s">
        <v>150</v>
      </c>
      <c r="B117">
        <v>5.43</v>
      </c>
    </row>
    <row r="118" spans="1:2">
      <c r="A118" t="s">
        <v>18</v>
      </c>
      <c r="B118">
        <v>5.42</v>
      </c>
    </row>
    <row r="119" spans="1:2">
      <c r="A119" t="s">
        <v>86</v>
      </c>
      <c r="B119">
        <v>5.35</v>
      </c>
    </row>
    <row r="120" spans="1:2">
      <c r="A120" t="s">
        <v>188</v>
      </c>
      <c r="B120">
        <v>5.26</v>
      </c>
    </row>
    <row r="121" spans="1:2">
      <c r="A121" t="s">
        <v>179</v>
      </c>
      <c r="B121">
        <v>5.22</v>
      </c>
    </row>
    <row r="122" spans="1:2">
      <c r="A122" t="s">
        <v>131</v>
      </c>
      <c r="B122">
        <v>5.21</v>
      </c>
    </row>
    <row r="123" spans="1:2">
      <c r="A123" t="s">
        <v>84</v>
      </c>
      <c r="B123">
        <v>5.17</v>
      </c>
    </row>
    <row r="124" spans="1:2">
      <c r="A124" t="s">
        <v>31</v>
      </c>
      <c r="B124">
        <v>4.8600000000000003</v>
      </c>
    </row>
    <row r="125" spans="1:2">
      <c r="A125" t="s">
        <v>136</v>
      </c>
      <c r="B125">
        <v>4.6399999999999997</v>
      </c>
    </row>
    <row r="126" spans="1:2">
      <c r="A126" t="s">
        <v>137</v>
      </c>
      <c r="B126">
        <v>4.47</v>
      </c>
    </row>
    <row r="127" spans="1:2">
      <c r="A127" t="s">
        <v>146</v>
      </c>
      <c r="B127">
        <v>4.3099999999999996</v>
      </c>
    </row>
    <row r="128" spans="1:2">
      <c r="A128" t="s">
        <v>156</v>
      </c>
      <c r="B128">
        <v>3.85</v>
      </c>
    </row>
    <row r="129" spans="1:2">
      <c r="A129" t="s">
        <v>134</v>
      </c>
      <c r="B129">
        <v>3.76</v>
      </c>
    </row>
    <row r="130" spans="1:2">
      <c r="A130" t="s">
        <v>20</v>
      </c>
      <c r="B130">
        <v>3.75</v>
      </c>
    </row>
    <row r="131" spans="1:2">
      <c r="A131" t="s">
        <v>99</v>
      </c>
      <c r="B131">
        <v>3.45</v>
      </c>
    </row>
    <row r="132" spans="1:2">
      <c r="A132" t="s">
        <v>143</v>
      </c>
      <c r="B132">
        <v>3.42</v>
      </c>
    </row>
    <row r="133" spans="1:2">
      <c r="A133" t="s">
        <v>280</v>
      </c>
      <c r="B133">
        <v>3.21</v>
      </c>
    </row>
    <row r="134" spans="1:2">
      <c r="A134" t="s">
        <v>250</v>
      </c>
      <c r="B134">
        <v>3.21</v>
      </c>
    </row>
    <row r="135" spans="1:2">
      <c r="A135" t="s">
        <v>157</v>
      </c>
      <c r="B135">
        <v>2.87</v>
      </c>
    </row>
    <row r="136" spans="1:2">
      <c r="A136" t="s">
        <v>80</v>
      </c>
      <c r="B136">
        <v>2.83</v>
      </c>
    </row>
    <row r="137" spans="1:2">
      <c r="A137" t="s">
        <v>119</v>
      </c>
      <c r="B137">
        <v>2.78</v>
      </c>
    </row>
    <row r="138" spans="1:2">
      <c r="A138" t="s">
        <v>21</v>
      </c>
      <c r="B138">
        <v>2.77</v>
      </c>
    </row>
    <row r="139" spans="1:2">
      <c r="A139" t="s">
        <v>121</v>
      </c>
      <c r="B139">
        <v>2.75</v>
      </c>
    </row>
    <row r="140" spans="1:2">
      <c r="A140" t="s">
        <v>154</v>
      </c>
      <c r="B140">
        <v>2.72</v>
      </c>
    </row>
    <row r="141" spans="1:2">
      <c r="A141" t="s">
        <v>81</v>
      </c>
      <c r="B141">
        <v>2.68</v>
      </c>
    </row>
    <row r="142" spans="1:2">
      <c r="A142" t="s">
        <v>53</v>
      </c>
      <c r="B142">
        <v>2.6</v>
      </c>
    </row>
    <row r="143" spans="1:2">
      <c r="A143" t="s">
        <v>109</v>
      </c>
      <c r="B143">
        <v>2.4900000000000002</v>
      </c>
    </row>
    <row r="144" spans="1:2">
      <c r="A144" t="s">
        <v>72</v>
      </c>
      <c r="B144">
        <v>2.44</v>
      </c>
    </row>
    <row r="145" spans="1:2">
      <c r="A145" t="s">
        <v>27</v>
      </c>
      <c r="B145">
        <v>2.33</v>
      </c>
    </row>
    <row r="146" spans="1:2">
      <c r="A146" t="s">
        <v>281</v>
      </c>
      <c r="B146">
        <v>2.15</v>
      </c>
    </row>
    <row r="147" spans="1:2">
      <c r="A147" t="s">
        <v>173</v>
      </c>
      <c r="B147">
        <v>2.12</v>
      </c>
    </row>
    <row r="148" spans="1:2">
      <c r="A148" t="s">
        <v>158</v>
      </c>
      <c r="B148">
        <v>1.88</v>
      </c>
    </row>
    <row r="149" spans="1:2">
      <c r="A149" t="s">
        <v>111</v>
      </c>
      <c r="B149">
        <v>1.81</v>
      </c>
    </row>
    <row r="150" spans="1:2">
      <c r="A150" t="s">
        <v>282</v>
      </c>
      <c r="B150">
        <v>1.71</v>
      </c>
    </row>
    <row r="151" spans="1:2">
      <c r="A151" t="s">
        <v>283</v>
      </c>
      <c r="B151">
        <v>1.53</v>
      </c>
    </row>
    <row r="152" spans="1:2">
      <c r="A152" t="s">
        <v>161</v>
      </c>
      <c r="B152">
        <v>1.49</v>
      </c>
    </row>
    <row r="153" spans="1:2">
      <c r="A153" t="s">
        <v>164</v>
      </c>
      <c r="B153">
        <v>1.37</v>
      </c>
    </row>
    <row r="154" spans="1:2">
      <c r="A154" t="s">
        <v>166</v>
      </c>
      <c r="B154">
        <v>1.26</v>
      </c>
    </row>
    <row r="155" spans="1:2">
      <c r="A155" t="s">
        <v>123</v>
      </c>
      <c r="B155">
        <v>1.26</v>
      </c>
    </row>
    <row r="156" spans="1:2">
      <c r="A156" t="s">
        <v>284</v>
      </c>
      <c r="B156">
        <v>1.21</v>
      </c>
    </row>
    <row r="157" spans="1:2">
      <c r="A157" t="s">
        <v>24</v>
      </c>
      <c r="B157">
        <v>1.1399999999999999</v>
      </c>
    </row>
    <row r="158" spans="1:2">
      <c r="A158" t="s">
        <v>91</v>
      </c>
      <c r="B158">
        <v>0.94</v>
      </c>
    </row>
    <row r="159" spans="1:2">
      <c r="A159" t="s">
        <v>43</v>
      </c>
      <c r="B159">
        <v>0.85</v>
      </c>
    </row>
    <row r="160" spans="1:2">
      <c r="A160" t="s">
        <v>100</v>
      </c>
      <c r="B160">
        <v>0.81</v>
      </c>
    </row>
    <row r="161" spans="1:2">
      <c r="A161" t="s">
        <v>70</v>
      </c>
      <c r="B161">
        <v>0.79</v>
      </c>
    </row>
    <row r="162" spans="1:2">
      <c r="A162" t="s">
        <v>285</v>
      </c>
      <c r="B162">
        <v>0.74</v>
      </c>
    </row>
    <row r="163" spans="1:2">
      <c r="A163" t="s">
        <v>286</v>
      </c>
      <c r="B163">
        <v>0.7</v>
      </c>
    </row>
    <row r="164" spans="1:2">
      <c r="A164" t="s">
        <v>174</v>
      </c>
      <c r="B164">
        <v>0.67</v>
      </c>
    </row>
    <row r="165" spans="1:2">
      <c r="A165" t="s">
        <v>145</v>
      </c>
      <c r="B165">
        <v>0.62</v>
      </c>
    </row>
    <row r="166" spans="1:2">
      <c r="A166" t="s">
        <v>71</v>
      </c>
      <c r="B166">
        <v>0.62</v>
      </c>
    </row>
    <row r="167" spans="1:2">
      <c r="A167" t="s">
        <v>64</v>
      </c>
      <c r="B167">
        <v>0.6</v>
      </c>
    </row>
    <row r="168" spans="1:2">
      <c r="A168" t="s">
        <v>169</v>
      </c>
      <c r="B168">
        <v>0.55000000000000004</v>
      </c>
    </row>
    <row r="169" spans="1:2">
      <c r="A169" t="s">
        <v>108</v>
      </c>
      <c r="B169">
        <v>0.52</v>
      </c>
    </row>
    <row r="170" spans="1:2">
      <c r="A170" t="s">
        <v>140</v>
      </c>
      <c r="B170">
        <v>0.45</v>
      </c>
    </row>
    <row r="171" spans="1:2">
      <c r="A171" t="s">
        <v>138</v>
      </c>
      <c r="B171">
        <v>0.41</v>
      </c>
    </row>
    <row r="172" spans="1:2">
      <c r="A172" t="s">
        <v>77</v>
      </c>
      <c r="B172">
        <v>0.41</v>
      </c>
    </row>
    <row r="173" spans="1:2">
      <c r="A173" t="s">
        <v>192</v>
      </c>
      <c r="B173">
        <v>0.39</v>
      </c>
    </row>
    <row r="174" spans="1:2">
      <c r="A174" t="s">
        <v>55</v>
      </c>
      <c r="B174">
        <v>0.33</v>
      </c>
    </row>
    <row r="175" spans="1:2">
      <c r="A175" t="s">
        <v>133</v>
      </c>
      <c r="B175">
        <v>0.28000000000000003</v>
      </c>
    </row>
    <row r="176" spans="1:2">
      <c r="A176" t="s">
        <v>287</v>
      </c>
      <c r="B176">
        <v>0.27</v>
      </c>
    </row>
    <row r="177" spans="1:2">
      <c r="A177" t="s">
        <v>79</v>
      </c>
      <c r="B177">
        <v>0.23</v>
      </c>
    </row>
    <row r="178" spans="1:2">
      <c r="A178" t="s">
        <v>288</v>
      </c>
      <c r="B178">
        <v>0.23</v>
      </c>
    </row>
    <row r="179" spans="1:2">
      <c r="A179" t="s">
        <v>87</v>
      </c>
      <c r="B179">
        <v>0.18</v>
      </c>
    </row>
    <row r="180" spans="1:2">
      <c r="A180" t="s">
        <v>122</v>
      </c>
      <c r="B180">
        <v>0.13</v>
      </c>
    </row>
    <row r="181" spans="1:2">
      <c r="A181" t="s">
        <v>58</v>
      </c>
      <c r="B181">
        <v>0.13</v>
      </c>
    </row>
    <row r="182" spans="1:2">
      <c r="A182" t="s">
        <v>60</v>
      </c>
      <c r="B182">
        <v>0.12</v>
      </c>
    </row>
    <row r="183" spans="1:2">
      <c r="A183" t="s">
        <v>127</v>
      </c>
      <c r="B183">
        <v>0.12</v>
      </c>
    </row>
    <row r="184" spans="1:2">
      <c r="A184" t="s">
        <v>289</v>
      </c>
      <c r="B184">
        <v>0.11</v>
      </c>
    </row>
    <row r="185" spans="1:2">
      <c r="A185" t="s">
        <v>97</v>
      </c>
      <c r="B185">
        <v>0.11</v>
      </c>
    </row>
    <row r="186" spans="1:2">
      <c r="A186" t="s">
        <v>290</v>
      </c>
      <c r="B186">
        <v>0.1</v>
      </c>
    </row>
    <row r="187" spans="1:2">
      <c r="A187" t="s">
        <v>291</v>
      </c>
      <c r="B187">
        <v>0.09</v>
      </c>
    </row>
    <row r="188" spans="1:2">
      <c r="A188" t="s">
        <v>160</v>
      </c>
      <c r="B188">
        <v>0.08</v>
      </c>
    </row>
    <row r="189" spans="1:2">
      <c r="A189" t="s">
        <v>98</v>
      </c>
      <c r="B189">
        <v>7.0000000000000007E-2</v>
      </c>
    </row>
    <row r="190" spans="1:2">
      <c r="A190" t="s">
        <v>292</v>
      </c>
      <c r="B190">
        <v>0.06</v>
      </c>
    </row>
    <row r="191" spans="1:2">
      <c r="A191" t="s">
        <v>293</v>
      </c>
      <c r="B191">
        <v>0.05</v>
      </c>
    </row>
    <row r="192" spans="1:2">
      <c r="A192" t="s">
        <v>181</v>
      </c>
      <c r="B192">
        <v>0.04</v>
      </c>
    </row>
    <row r="193" spans="1:2">
      <c r="A193" t="s">
        <v>294</v>
      </c>
      <c r="B193">
        <v>0.04</v>
      </c>
    </row>
    <row r="194" spans="1:2">
      <c r="A194" t="s">
        <v>295</v>
      </c>
      <c r="B194">
        <v>0.03</v>
      </c>
    </row>
    <row r="195" spans="1:2">
      <c r="A195" t="s">
        <v>152</v>
      </c>
      <c r="B195">
        <v>0.03</v>
      </c>
    </row>
    <row r="196" spans="1:2">
      <c r="A196" t="s">
        <v>124</v>
      </c>
      <c r="B196">
        <v>0.02</v>
      </c>
    </row>
    <row r="197" spans="1:2">
      <c r="A197" t="s">
        <v>63</v>
      </c>
      <c r="B197">
        <v>0.01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3B1-142E-4C74-BDA5-F7D420703FD4}">
  <sheetPr>
    <tabColor rgb="FF00B0F0"/>
  </sheetPr>
  <dimension ref="A1:D27"/>
  <sheetViews>
    <sheetView workbookViewId="0">
      <selection activeCell="D27" sqref="D27"/>
    </sheetView>
  </sheetViews>
  <sheetFormatPr baseColWidth="10" defaultColWidth="8.83203125" defaultRowHeight="15"/>
  <cols>
    <col min="1" max="1" width="11.6640625" bestFit="1" customWidth="1"/>
    <col min="2" max="3" width="10.5" bestFit="1" customWidth="1"/>
    <col min="4" max="4" width="10.1640625" customWidth="1"/>
  </cols>
  <sheetData>
    <row r="1" spans="1:4">
      <c r="B1" t="s">
        <v>296</v>
      </c>
      <c r="C1" t="s">
        <v>324</v>
      </c>
      <c r="D1" t="s">
        <v>297</v>
      </c>
    </row>
    <row r="2" spans="1:4">
      <c r="A2" s="113" t="s">
        <v>229</v>
      </c>
      <c r="B2" s="2">
        <v>29184</v>
      </c>
      <c r="C2" s="2">
        <v>30507</v>
      </c>
      <c r="D2" s="4">
        <f>C2/B2-1</f>
        <v>4.5333059210526327E-2</v>
      </c>
    </row>
    <row r="3" spans="1:4">
      <c r="A3" s="113" t="s">
        <v>230</v>
      </c>
      <c r="B3">
        <v>3644</v>
      </c>
      <c r="C3">
        <v>3839</v>
      </c>
      <c r="D3" s="4">
        <f t="shared" ref="D3:D27" si="0">C3/B3-1</f>
        <v>5.3512623490669542E-2</v>
      </c>
    </row>
    <row r="4" spans="1:4">
      <c r="A4" s="113" t="s">
        <v>187</v>
      </c>
      <c r="B4">
        <v>4658</v>
      </c>
      <c r="C4">
        <v>4744</v>
      </c>
      <c r="D4" s="4">
        <f t="shared" si="0"/>
        <v>1.8462859596393377E-2</v>
      </c>
    </row>
    <row r="5" spans="1:4">
      <c r="A5" s="113" t="s">
        <v>167</v>
      </c>
      <c r="B5">
        <v>3162</v>
      </c>
      <c r="C5">
        <v>3211</v>
      </c>
      <c r="D5" s="4">
        <f t="shared" si="0"/>
        <v>1.5496521189120704E-2</v>
      </c>
    </row>
    <row r="6" spans="1:4">
      <c r="A6" s="115" t="s">
        <v>168</v>
      </c>
      <c r="B6">
        <v>1722</v>
      </c>
      <c r="C6">
        <v>1799</v>
      </c>
      <c r="D6" s="4">
        <f t="shared" si="0"/>
        <v>4.471544715447151E-2</v>
      </c>
    </row>
    <row r="7" spans="1:4">
      <c r="A7" s="113" t="s">
        <v>165</v>
      </c>
      <c r="B7">
        <v>2372</v>
      </c>
      <c r="C7">
        <v>2422</v>
      </c>
      <c r="D7" s="4">
        <f t="shared" si="0"/>
        <v>2.1079258010118007E-2</v>
      </c>
    </row>
    <row r="8" spans="1:4">
      <c r="A8" s="115" t="s">
        <v>171</v>
      </c>
      <c r="B8">
        <v>4026</v>
      </c>
      <c r="C8">
        <v>4186</v>
      </c>
      <c r="D8" s="4">
        <f t="shared" si="0"/>
        <v>3.9741679085941284E-2</v>
      </c>
    </row>
    <row r="9" spans="1:4">
      <c r="A9" s="115" t="s">
        <v>184</v>
      </c>
      <c r="B9" s="26">
        <v>1227</v>
      </c>
      <c r="C9" s="26">
        <v>1272</v>
      </c>
      <c r="D9" s="31">
        <f t="shared" si="0"/>
        <v>3.6674816625916762E-2</v>
      </c>
    </row>
    <row r="10" spans="1:4">
      <c r="A10" s="113" t="s">
        <v>120</v>
      </c>
      <c r="B10" s="23">
        <v>18748</v>
      </c>
      <c r="C10" s="23">
        <v>19231</v>
      </c>
      <c r="D10" s="30">
        <f t="shared" si="0"/>
        <v>2.5762748026456173E-2</v>
      </c>
    </row>
    <row r="11" spans="1:4">
      <c r="A11" s="115" t="s">
        <v>176</v>
      </c>
      <c r="B11" s="27">
        <v>1869</v>
      </c>
      <c r="C11" s="27">
        <v>1790</v>
      </c>
      <c r="D11" s="32">
        <f t="shared" si="0"/>
        <v>-4.2268592830390528E-2</v>
      </c>
    </row>
    <row r="12" spans="1:4">
      <c r="A12" s="115" t="s">
        <v>177</v>
      </c>
      <c r="B12">
        <v>2241</v>
      </c>
      <c r="C12">
        <v>2225</v>
      </c>
      <c r="D12" s="4">
        <f t="shared" si="0"/>
        <v>-7.1396697902722517E-3</v>
      </c>
    </row>
    <row r="13" spans="1:4">
      <c r="A13" s="113" t="s">
        <v>61</v>
      </c>
      <c r="B13">
        <v>3909</v>
      </c>
      <c r="C13">
        <v>4187</v>
      </c>
      <c r="D13" s="4">
        <f t="shared" si="0"/>
        <v>7.1117932975185427E-2</v>
      </c>
    </row>
    <row r="14" spans="1:4">
      <c r="A14" s="115" t="s">
        <v>159</v>
      </c>
      <c r="B14">
        <v>908</v>
      </c>
      <c r="C14">
        <v>979</v>
      </c>
      <c r="D14" s="4">
        <f t="shared" si="0"/>
        <v>7.819383259911894E-2</v>
      </c>
    </row>
    <row r="15" spans="1:4">
      <c r="A15" s="67" t="s">
        <v>119</v>
      </c>
      <c r="B15" s="116">
        <v>25.533000000000001</v>
      </c>
      <c r="C15" s="116">
        <v>26.257999999999999</v>
      </c>
      <c r="D15" s="4">
        <f t="shared" si="0"/>
        <v>2.8394626561704328E-2</v>
      </c>
    </row>
    <row r="16" spans="1:4">
      <c r="A16" s="67" t="s">
        <v>161</v>
      </c>
      <c r="B16" s="116">
        <v>46.942999999999998</v>
      </c>
      <c r="C16" s="116">
        <v>47.829000000000001</v>
      </c>
      <c r="D16" s="4">
        <f t="shared" si="0"/>
        <v>1.8873953518096398E-2</v>
      </c>
    </row>
    <row r="17" spans="1:4">
      <c r="A17" s="67" t="s">
        <v>90</v>
      </c>
      <c r="B17" s="116">
        <v>383.10899999999998</v>
      </c>
      <c r="C17" s="116">
        <v>347.34199999999998</v>
      </c>
      <c r="D17" s="4">
        <f t="shared" si="0"/>
        <v>-9.3359853201047227E-2</v>
      </c>
    </row>
    <row r="18" spans="1:4">
      <c r="A18" s="128" t="s">
        <v>323</v>
      </c>
      <c r="B18" s="116">
        <v>284.81</v>
      </c>
      <c r="C18" s="116">
        <v>300.53800000000001</v>
      </c>
      <c r="D18" s="4">
        <f t="shared" si="0"/>
        <v>5.5222780099013491E-2</v>
      </c>
    </row>
    <row r="19" spans="1:4">
      <c r="A19" s="114" t="s">
        <v>146</v>
      </c>
      <c r="B19" s="116">
        <v>158.56800000000001</v>
      </c>
      <c r="C19" s="116">
        <v>153.101</v>
      </c>
      <c r="D19" s="4">
        <f t="shared" si="0"/>
        <v>-3.4477322032188118E-2</v>
      </c>
    </row>
    <row r="20" spans="1:4">
      <c r="A20" s="67" t="s">
        <v>136</v>
      </c>
      <c r="B20" s="116">
        <v>106.943</v>
      </c>
      <c r="C20" s="116">
        <v>104.351</v>
      </c>
      <c r="D20" s="4">
        <f t="shared" si="0"/>
        <v>-2.4237210476608984E-2</v>
      </c>
    </row>
    <row r="21" spans="1:4">
      <c r="A21" s="128" t="s">
        <v>183</v>
      </c>
      <c r="B21" s="116">
        <v>664</v>
      </c>
      <c r="C21" s="116">
        <v>689</v>
      </c>
      <c r="D21" s="4">
        <f t="shared" si="0"/>
        <v>3.7650602409638578E-2</v>
      </c>
    </row>
    <row r="22" spans="1:4">
      <c r="A22" s="67" t="s">
        <v>154</v>
      </c>
      <c r="B22" s="116">
        <v>221.452</v>
      </c>
      <c r="C22" s="116">
        <v>222.77600000000001</v>
      </c>
      <c r="D22" s="4">
        <f t="shared" si="0"/>
        <v>5.9787222513232319E-3</v>
      </c>
    </row>
    <row r="23" spans="1:4">
      <c r="A23" s="114" t="s">
        <v>155</v>
      </c>
      <c r="B23" s="116">
        <v>1085.3579999999999</v>
      </c>
      <c r="C23" s="116">
        <v>1083.749</v>
      </c>
      <c r="D23" s="4">
        <f t="shared" si="0"/>
        <v>-1.4824601652173586E-3</v>
      </c>
    </row>
    <row r="24" spans="1:4">
      <c r="A24" s="114" t="s">
        <v>322</v>
      </c>
      <c r="B24" s="116">
        <v>537.07899999999995</v>
      </c>
      <c r="C24" s="116">
        <v>548.59799999999996</v>
      </c>
      <c r="D24" s="4">
        <f t="shared" si="0"/>
        <v>2.1447496550786704E-2</v>
      </c>
    </row>
    <row r="25" spans="1:4">
      <c r="A25" s="67" t="s">
        <v>89</v>
      </c>
      <c r="B25" s="116">
        <v>114.962</v>
      </c>
      <c r="C25" s="116">
        <v>132.48400000000001</v>
      </c>
      <c r="D25" s="4">
        <f t="shared" si="0"/>
        <v>0.15241558080061246</v>
      </c>
    </row>
    <row r="26" spans="1:4">
      <c r="A26" s="67" t="s">
        <v>142</v>
      </c>
      <c r="B26" s="116">
        <v>398</v>
      </c>
      <c r="C26" s="116">
        <v>403</v>
      </c>
      <c r="D26" s="4">
        <f t="shared" si="0"/>
        <v>1.2562814070351758E-2</v>
      </c>
    </row>
    <row r="27" spans="1:4">
      <c r="A27" s="114" t="s">
        <v>139</v>
      </c>
      <c r="B27" s="116">
        <v>2161</v>
      </c>
      <c r="C27" s="116">
        <v>2076</v>
      </c>
      <c r="D27" s="4">
        <f t="shared" si="0"/>
        <v>-3.9333641832485E-2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5AA9-083F-48B4-8736-86357ECD9FE0}">
  <sheetPr>
    <tabColor rgb="FFFF0000"/>
  </sheetPr>
  <dimension ref="A1:B28"/>
  <sheetViews>
    <sheetView workbookViewId="0">
      <selection activeCell="A2" sqref="A2:A18"/>
    </sheetView>
  </sheetViews>
  <sheetFormatPr baseColWidth="10" defaultColWidth="8.83203125" defaultRowHeight="15"/>
  <cols>
    <col min="1" max="1" width="14.5" bestFit="1" customWidth="1"/>
    <col min="2" max="2" width="24.83203125" bestFit="1" customWidth="1"/>
  </cols>
  <sheetData>
    <row r="1" spans="1:2">
      <c r="A1" t="s">
        <v>212</v>
      </c>
      <c r="B1" t="s">
        <v>298</v>
      </c>
    </row>
    <row r="2" spans="1:2">
      <c r="A2" s="114" t="s">
        <v>322</v>
      </c>
      <c r="B2" s="2" t="e">
        <f>1/VLOOKUP(A2,'Magna Cost of Media'!$A$5:$K$56,11,FALSE)</f>
        <v>#N/A</v>
      </c>
    </row>
    <row r="3" spans="1:2">
      <c r="A3" s="114" t="s">
        <v>229</v>
      </c>
      <c r="B3" s="2" t="e">
        <f>1/VLOOKUP(A3,'Magna Cost of Media'!$A$5:$K$56,11,FALSE)</f>
        <v>#N/A</v>
      </c>
    </row>
    <row r="4" spans="1:2">
      <c r="A4" s="114" t="s">
        <v>167</v>
      </c>
      <c r="B4" s="2">
        <f>1/VLOOKUP(A4,'Magna Cost of Media'!$A$5:$K$56,11,FALSE)</f>
        <v>4.2772723585232444E-2</v>
      </c>
    </row>
    <row r="5" spans="1:2">
      <c r="A5" s="114" t="s">
        <v>61</v>
      </c>
      <c r="B5" s="2">
        <f>1/VLOOKUP(A5,'Magna Cost of Media'!$A$5:$K$56,11,FALSE)</f>
        <v>0.21913073487205104</v>
      </c>
    </row>
    <row r="6" spans="1:2">
      <c r="A6" s="114" t="s">
        <v>230</v>
      </c>
      <c r="B6" s="2" t="e">
        <f>1/VLOOKUP(A6,'Magna Cost of Media'!$A$5:$K$56,11,FALSE)</f>
        <v>#N/A</v>
      </c>
    </row>
    <row r="7" spans="1:2">
      <c r="A7" s="114" t="s">
        <v>165</v>
      </c>
      <c r="B7" s="2">
        <f>1/VLOOKUP(A7,'Magna Cost of Media'!$A$5:$K$56,11,FALSE)</f>
        <v>0.15021631649043876</v>
      </c>
    </row>
    <row r="8" spans="1:2">
      <c r="A8" s="114" t="s">
        <v>120</v>
      </c>
      <c r="B8" s="2">
        <f>1/VLOOKUP(A8,'Magna Cost of Media'!$A$5:$K$56,11,FALSE)</f>
        <v>4.10929574771128E-2</v>
      </c>
    </row>
    <row r="9" spans="1:2">
      <c r="A9" s="114" t="s">
        <v>155</v>
      </c>
      <c r="B9" s="82">
        <f>AVERAGE(B24:B25)</f>
        <v>4.4300189071237298E-2</v>
      </c>
    </row>
    <row r="10" spans="1:2">
      <c r="A10" s="114" t="s">
        <v>187</v>
      </c>
      <c r="B10" s="83" t="e">
        <f>AVERAGE(B16:B18)</f>
        <v>#N/A</v>
      </c>
    </row>
    <row r="11" spans="1:2">
      <c r="A11" s="114" t="s">
        <v>139</v>
      </c>
      <c r="B11" s="84" t="e">
        <f>AVERAGE(B19:B23)</f>
        <v>#N/A</v>
      </c>
    </row>
    <row r="12" spans="1:2">
      <c r="A12" s="114" t="s">
        <v>146</v>
      </c>
      <c r="B12" s="2" t="e">
        <f>1/VLOOKUP(A12,'Magna Cost of Media'!$A$5:$K$56,11,FALSE)</f>
        <v>#N/A</v>
      </c>
    </row>
    <row r="13" spans="1:2">
      <c r="A13" s="67" t="s">
        <v>90</v>
      </c>
      <c r="B13" s="2" t="e">
        <f>1/VLOOKUP(A13,'Magna Cost of Media'!$A$5:$K$56,11,FALSE)</f>
        <v>#N/A</v>
      </c>
    </row>
    <row r="14" spans="1:2">
      <c r="A14" s="67" t="s">
        <v>323</v>
      </c>
      <c r="B14" s="2"/>
    </row>
    <row r="15" spans="1:2">
      <c r="A15" s="67" t="s">
        <v>161</v>
      </c>
      <c r="B15" s="2"/>
    </row>
    <row r="16" spans="1:2">
      <c r="A16" s="67" t="s">
        <v>154</v>
      </c>
      <c r="B16" s="2" t="e">
        <f>1/VLOOKUP(A16,'Magna Cost of Media'!$A$5:$K$56,11,FALSE)</f>
        <v>#N/A</v>
      </c>
    </row>
    <row r="17" spans="1:2">
      <c r="A17" s="67" t="s">
        <v>177</v>
      </c>
      <c r="B17" s="2">
        <f>1/VLOOKUP(A17,'Magna Cost of Media'!$A$5:$K$56,11,FALSE)</f>
        <v>3.1657955324411846E-2</v>
      </c>
    </row>
    <row r="18" spans="1:2">
      <c r="A18" s="67" t="s">
        <v>142</v>
      </c>
      <c r="B18" s="2"/>
    </row>
    <row r="19" spans="1:2">
      <c r="A19" s="67" t="s">
        <v>136</v>
      </c>
      <c r="B19" s="2" t="e">
        <f>1/VLOOKUP(A19,'Magna Cost of Media'!$A$5:$K$56,11,FALSE)</f>
        <v>#N/A</v>
      </c>
    </row>
    <row r="20" spans="1:2">
      <c r="A20" s="67" t="s">
        <v>168</v>
      </c>
      <c r="B20" s="2">
        <f>1/VLOOKUP(A20,'Magna Cost of Media'!$A$5:$K$56,11,FALSE)</f>
        <v>9.6328877020126616E-2</v>
      </c>
    </row>
    <row r="21" spans="1:2">
      <c r="A21" s="67" t="s">
        <v>184</v>
      </c>
      <c r="B21" s="2"/>
    </row>
    <row r="22" spans="1:2">
      <c r="A22" s="67" t="s">
        <v>171</v>
      </c>
      <c r="B22" s="2">
        <f>1/VLOOKUP(A22,'Magna Cost of Media'!$A$5:$K$56,11,FALSE)</f>
        <v>4.819081885684709E-2</v>
      </c>
    </row>
    <row r="23" spans="1:2">
      <c r="A23" t="s">
        <v>89</v>
      </c>
      <c r="B23" s="2" t="e">
        <f>1/VLOOKUP(A23,'Magna Cost of Media'!$A$5:$K$56,11,FALSE)</f>
        <v>#N/A</v>
      </c>
    </row>
    <row r="24" spans="1:2">
      <c r="A24" s="67" t="s">
        <v>159</v>
      </c>
      <c r="B24" s="2">
        <f>1/VLOOKUP(A24,'Magna Cost of Media'!$A$5:$K$56,11,FALSE)</f>
        <v>5.6841128711026846E-2</v>
      </c>
    </row>
    <row r="25" spans="1:2">
      <c r="A25" s="67" t="s">
        <v>176</v>
      </c>
      <c r="B25" s="2">
        <f>1/VLOOKUP(A25,'Magna Cost of Media'!$A$5:$K$56,11,FALSE)</f>
        <v>3.1759249431447742E-2</v>
      </c>
    </row>
    <row r="26" spans="1:2">
      <c r="A26" s="67" t="s">
        <v>119</v>
      </c>
    </row>
    <row r="27" spans="1:2">
      <c r="A27" s="67" t="s">
        <v>183</v>
      </c>
    </row>
    <row r="28" spans="1:2">
      <c r="A28" s="6" t="s">
        <v>239</v>
      </c>
      <c r="B28" s="6" t="s">
        <v>270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F1B8-FE60-4BBE-9CF1-2F98EEDB3355}">
  <sheetPr>
    <tabColor rgb="FFFF0000"/>
  </sheetPr>
  <dimension ref="A4:K86"/>
  <sheetViews>
    <sheetView showGridLines="0" zoomScale="69" zoomScaleNormal="69" workbookViewId="0">
      <selection activeCell="I46" sqref="I46"/>
    </sheetView>
  </sheetViews>
  <sheetFormatPr baseColWidth="10" defaultColWidth="9.1640625" defaultRowHeight="15"/>
  <cols>
    <col min="1" max="1" width="21.5" style="10" customWidth="1"/>
    <col min="2" max="2" width="11.5" style="12" customWidth="1"/>
    <col min="3" max="3" width="12.5" style="12" customWidth="1"/>
    <col min="4" max="4" width="13" style="12" customWidth="1"/>
    <col min="5" max="5" width="11.5" style="12" customWidth="1"/>
    <col min="6" max="6" width="12" style="12" customWidth="1"/>
    <col min="7" max="7" width="12.1640625" style="12" customWidth="1"/>
    <col min="8" max="8" width="11.5" style="12" customWidth="1"/>
    <col min="9" max="9" width="12.5" style="12" customWidth="1"/>
    <col min="10" max="10" width="22.5" style="12" customWidth="1"/>
    <col min="11" max="11" width="22.6640625" style="12" bestFit="1" customWidth="1"/>
    <col min="12" max="12" width="23.5" style="12" customWidth="1"/>
    <col min="13" max="16384" width="9.1640625" style="12"/>
  </cols>
  <sheetData>
    <row r="4" spans="1:11">
      <c r="A4" s="10" t="s">
        <v>299</v>
      </c>
      <c r="B4" s="11" t="s">
        <v>300</v>
      </c>
    </row>
    <row r="5" spans="1:11" s="15" customFormat="1" ht="16">
      <c r="A5" s="13" t="s">
        <v>301</v>
      </c>
      <c r="B5" s="14" t="s">
        <v>302</v>
      </c>
      <c r="C5" s="14" t="s">
        <v>303</v>
      </c>
      <c r="D5" s="14" t="s">
        <v>304</v>
      </c>
      <c r="E5" s="14" t="s">
        <v>305</v>
      </c>
      <c r="F5" s="14" t="s">
        <v>306</v>
      </c>
      <c r="G5" s="14" t="s">
        <v>307</v>
      </c>
      <c r="H5" s="14" t="s">
        <v>308</v>
      </c>
      <c r="I5" s="14" t="s">
        <v>309</v>
      </c>
      <c r="J5" s="14" t="s">
        <v>310</v>
      </c>
      <c r="K5" s="14" t="s">
        <v>311</v>
      </c>
    </row>
    <row r="6" spans="1:11">
      <c r="A6" s="16" t="s">
        <v>312</v>
      </c>
      <c r="B6" s="17">
        <v>54.053016769999999</v>
      </c>
      <c r="C6" s="17">
        <v>28.923309589999999</v>
      </c>
      <c r="D6" s="17" t="s">
        <v>313</v>
      </c>
      <c r="E6" s="17">
        <v>7.8042848339999997</v>
      </c>
      <c r="F6" s="17">
        <v>79.915908830000006</v>
      </c>
      <c r="G6" s="17">
        <v>30.81587064</v>
      </c>
      <c r="H6" s="17">
        <v>5.6713172780000001</v>
      </c>
      <c r="I6" s="17" t="s">
        <v>313</v>
      </c>
      <c r="J6" s="17">
        <v>41.49025872</v>
      </c>
      <c r="K6" s="17">
        <v>36.005445590000001</v>
      </c>
    </row>
    <row r="7" spans="1:11">
      <c r="A7" s="16" t="s">
        <v>314</v>
      </c>
      <c r="B7" s="17">
        <v>19.312819050000002</v>
      </c>
      <c r="C7" s="17">
        <v>31.32083991</v>
      </c>
      <c r="D7" s="17" t="s">
        <v>313</v>
      </c>
      <c r="E7" s="17">
        <v>6.1285056549999997</v>
      </c>
      <c r="F7" s="17">
        <v>42.259308140000002</v>
      </c>
      <c r="G7" s="17">
        <v>45.038301189999999</v>
      </c>
      <c r="H7" s="17">
        <v>3.7056351279999999</v>
      </c>
      <c r="I7" s="17" t="s">
        <v>313</v>
      </c>
      <c r="J7" s="17">
        <v>22.428817259999999</v>
      </c>
      <c r="K7" s="17">
        <v>21.359846489999999</v>
      </c>
    </row>
    <row r="8" spans="1:11">
      <c r="A8" s="16" t="s">
        <v>315</v>
      </c>
      <c r="B8" s="17">
        <v>26.089496270000001</v>
      </c>
      <c r="C8" s="17">
        <v>16.703078510000001</v>
      </c>
      <c r="D8" s="17" t="s">
        <v>313</v>
      </c>
      <c r="E8" s="17">
        <v>8.8891081179999993</v>
      </c>
      <c r="F8" s="17">
        <v>56.974117720000002</v>
      </c>
      <c r="G8" s="17">
        <v>23.104165630000001</v>
      </c>
      <c r="H8" s="17">
        <v>6.2935167759999997</v>
      </c>
      <c r="I8" s="17" t="s">
        <v>313</v>
      </c>
      <c r="J8" s="17">
        <v>27.415334349999998</v>
      </c>
      <c r="K8" s="17">
        <v>25.498009969999998</v>
      </c>
    </row>
    <row r="9" spans="1:11">
      <c r="A9" s="16" t="s">
        <v>316</v>
      </c>
      <c r="B9" s="17">
        <v>7.6345833809999997</v>
      </c>
      <c r="C9" s="17">
        <v>18.314487939999999</v>
      </c>
      <c r="D9" s="17" t="s">
        <v>313</v>
      </c>
      <c r="E9" s="17">
        <v>0.84192340399999999</v>
      </c>
      <c r="F9" s="17">
        <v>43.202451969999998</v>
      </c>
      <c r="G9" s="17">
        <v>45.040086250000002</v>
      </c>
      <c r="H9" s="17">
        <v>5.1197142490000003</v>
      </c>
      <c r="I9" s="17" t="s">
        <v>313</v>
      </c>
      <c r="J9" s="17">
        <v>9.7288795609999994</v>
      </c>
      <c r="K9" s="17">
        <v>8.2100518979999997</v>
      </c>
    </row>
    <row r="10" spans="1:11">
      <c r="A10" s="16" t="s">
        <v>317</v>
      </c>
      <c r="B10" s="17">
        <v>110.32174240000001</v>
      </c>
      <c r="C10" s="17">
        <v>30.160350409999999</v>
      </c>
      <c r="D10" s="17" t="s">
        <v>313</v>
      </c>
      <c r="E10" s="17">
        <v>8.9279737600000004</v>
      </c>
      <c r="F10" s="17">
        <v>126.7441742</v>
      </c>
      <c r="G10" s="17">
        <v>34.130024859999999</v>
      </c>
      <c r="H10" s="17">
        <v>5.7288352470000001</v>
      </c>
      <c r="I10" s="17" t="s">
        <v>313</v>
      </c>
      <c r="J10" s="17">
        <v>59.968563600000003</v>
      </c>
      <c r="K10" s="17">
        <v>52.31202468</v>
      </c>
    </row>
    <row r="11" spans="1:11">
      <c r="A11" s="16" t="s">
        <v>318</v>
      </c>
      <c r="B11" s="17">
        <v>28.807053329999999</v>
      </c>
      <c r="C11" s="17">
        <v>17.836111720000002</v>
      </c>
      <c r="D11" s="17" t="s">
        <v>313</v>
      </c>
      <c r="E11" s="17">
        <v>9.0702786209999999</v>
      </c>
      <c r="F11" s="17">
        <v>58.476311539999998</v>
      </c>
      <c r="G11" s="17">
        <v>23.25021512</v>
      </c>
      <c r="H11" s="17">
        <v>6.9316660040000002</v>
      </c>
      <c r="I11" s="17" t="s">
        <v>313</v>
      </c>
      <c r="J11" s="17">
        <v>29.565246649999999</v>
      </c>
      <c r="K11" s="17">
        <v>27.220892339999999</v>
      </c>
    </row>
    <row r="12" spans="1:11">
      <c r="A12" s="16" t="s">
        <v>319</v>
      </c>
      <c r="B12" s="17">
        <v>6.9783567919999996</v>
      </c>
      <c r="C12" s="17">
        <v>33.182539339999998</v>
      </c>
      <c r="D12" s="17" t="s">
        <v>313</v>
      </c>
      <c r="E12" s="17">
        <v>5.5326927489999997</v>
      </c>
      <c r="F12" s="17">
        <v>23.474048310000001</v>
      </c>
      <c r="G12" s="17">
        <v>22.027703089999999</v>
      </c>
      <c r="H12" s="17">
        <v>4.2910034069999998</v>
      </c>
      <c r="I12" s="17" t="s">
        <v>313</v>
      </c>
      <c r="J12" s="17">
        <v>11.67741217</v>
      </c>
      <c r="K12" s="17">
        <v>11.022244819999999</v>
      </c>
    </row>
    <row r="13" spans="1:11" s="16" customFormat="1">
      <c r="A13" s="18"/>
      <c r="C13" s="19"/>
    </row>
    <row r="14" spans="1:11">
      <c r="A14" s="16" t="s">
        <v>185</v>
      </c>
      <c r="B14" s="17">
        <v>49.654921520000002</v>
      </c>
      <c r="C14" s="17">
        <v>71.266258989999997</v>
      </c>
      <c r="D14" s="17" t="s">
        <v>313</v>
      </c>
      <c r="E14" s="17">
        <v>3.3165034950000001</v>
      </c>
      <c r="F14" s="17">
        <v>74.995084599999998</v>
      </c>
      <c r="G14" s="17">
        <v>21.373176640000001</v>
      </c>
      <c r="H14" s="17">
        <v>3.2976624929999998</v>
      </c>
      <c r="I14" s="17" t="s">
        <v>313</v>
      </c>
      <c r="J14" s="17">
        <v>39.68934041</v>
      </c>
      <c r="K14" s="17">
        <v>33.250017300000003</v>
      </c>
    </row>
    <row r="15" spans="1:11">
      <c r="A15" s="16" t="s">
        <v>172</v>
      </c>
      <c r="B15" s="17">
        <v>72.373347710000004</v>
      </c>
      <c r="C15" s="17" t="s">
        <v>313</v>
      </c>
      <c r="D15" s="17" t="s">
        <v>313</v>
      </c>
      <c r="E15" s="17">
        <v>12.91460305</v>
      </c>
      <c r="F15" s="17">
        <v>86.080231749999996</v>
      </c>
      <c r="G15" s="17">
        <v>56.656301370000001</v>
      </c>
      <c r="H15" s="17">
        <v>6.2941941300000002</v>
      </c>
      <c r="I15" s="17" t="s">
        <v>313</v>
      </c>
      <c r="J15" s="17">
        <v>67.020746110000005</v>
      </c>
      <c r="K15" s="17">
        <v>62.628172530000001</v>
      </c>
    </row>
    <row r="16" spans="1:11">
      <c r="A16" s="16" t="s">
        <v>183</v>
      </c>
      <c r="B16" s="17">
        <v>10.80753618</v>
      </c>
      <c r="C16" s="17" t="s">
        <v>313</v>
      </c>
      <c r="D16" s="17" t="s">
        <v>313</v>
      </c>
      <c r="E16" s="17">
        <v>10.383851829999999</v>
      </c>
      <c r="F16" s="17">
        <v>17.34390183</v>
      </c>
      <c r="G16" s="17">
        <v>17.31351527</v>
      </c>
      <c r="H16" s="17">
        <v>4.27893554</v>
      </c>
      <c r="I16" s="17" t="s">
        <v>313</v>
      </c>
      <c r="J16" s="17">
        <v>10.29296589</v>
      </c>
      <c r="K16" s="17">
        <v>14.047537869999999</v>
      </c>
    </row>
    <row r="17" spans="1:11">
      <c r="A17" s="16" t="s">
        <v>106</v>
      </c>
      <c r="B17" s="17">
        <v>5.0576016089999998</v>
      </c>
      <c r="C17" s="17">
        <v>16.987463129999998</v>
      </c>
      <c r="D17" s="17" t="s">
        <v>313</v>
      </c>
      <c r="E17" s="17">
        <v>0.61937626000000001</v>
      </c>
      <c r="F17" s="17">
        <v>50.062097199999997</v>
      </c>
      <c r="G17" s="17">
        <v>47.596705020000002</v>
      </c>
      <c r="H17" s="17">
        <v>7.2630280430000003</v>
      </c>
      <c r="I17" s="17" t="s">
        <v>313</v>
      </c>
      <c r="J17" s="17">
        <v>8.4665668790000002</v>
      </c>
      <c r="K17" s="17">
        <v>6.7812749749999996</v>
      </c>
    </row>
    <row r="18" spans="1:11">
      <c r="A18" s="16" t="s">
        <v>125</v>
      </c>
      <c r="B18" s="17">
        <v>12.51399408</v>
      </c>
      <c r="C18" s="17">
        <v>9.7075485710000002</v>
      </c>
      <c r="D18" s="17" t="s">
        <v>313</v>
      </c>
      <c r="E18" s="17">
        <v>5.9048801190000004</v>
      </c>
      <c r="F18" s="17">
        <v>80.463341630000002</v>
      </c>
      <c r="G18" s="17">
        <v>106.9576696</v>
      </c>
      <c r="H18" s="17">
        <v>4.2832505789999997</v>
      </c>
      <c r="I18" s="17" t="s">
        <v>313</v>
      </c>
      <c r="J18" s="17">
        <v>13.57521038</v>
      </c>
      <c r="K18" s="17">
        <v>12.39658994</v>
      </c>
    </row>
    <row r="19" spans="1:11">
      <c r="A19" s="16" t="s">
        <v>177</v>
      </c>
      <c r="B19" s="17">
        <v>36.297164729999999</v>
      </c>
      <c r="C19" s="17">
        <v>33.879605910000002</v>
      </c>
      <c r="D19" s="17" t="s">
        <v>313</v>
      </c>
      <c r="E19" s="17">
        <v>9.7917981330000003</v>
      </c>
      <c r="F19" s="17">
        <v>73.381506040000005</v>
      </c>
      <c r="G19" s="17">
        <v>17.841652960000001</v>
      </c>
      <c r="H19" s="17">
        <v>7.2103773889999996</v>
      </c>
      <c r="I19" s="17" t="s">
        <v>313</v>
      </c>
      <c r="J19" s="17">
        <v>30.90617855</v>
      </c>
      <c r="K19" s="17">
        <v>31.587636969999998</v>
      </c>
    </row>
    <row r="20" spans="1:11">
      <c r="A20" s="16" t="s">
        <v>120</v>
      </c>
      <c r="B20" s="17">
        <v>37.7786799</v>
      </c>
      <c r="C20" s="17" t="s">
        <v>313</v>
      </c>
      <c r="D20" s="17" t="s">
        <v>313</v>
      </c>
      <c r="E20" s="17">
        <v>8.0039623580000008</v>
      </c>
      <c r="F20" s="17" t="s">
        <v>313</v>
      </c>
      <c r="G20" s="17" t="s">
        <v>313</v>
      </c>
      <c r="H20" s="17" t="s">
        <v>313</v>
      </c>
      <c r="I20" s="17" t="s">
        <v>313</v>
      </c>
      <c r="J20" s="17">
        <v>28.909697919999999</v>
      </c>
      <c r="K20" s="17">
        <v>24.335070080000001</v>
      </c>
    </row>
    <row r="21" spans="1:11">
      <c r="A21" s="16" t="s">
        <v>104</v>
      </c>
      <c r="B21" s="17">
        <v>3.8132598579999999</v>
      </c>
      <c r="C21" s="17">
        <v>3.4512573350000002</v>
      </c>
      <c r="D21" s="17" t="s">
        <v>313</v>
      </c>
      <c r="E21" s="17" t="s">
        <v>313</v>
      </c>
      <c r="F21" s="17" t="s">
        <v>313</v>
      </c>
      <c r="G21" s="17" t="s">
        <v>313</v>
      </c>
      <c r="H21" s="17" t="s">
        <v>313</v>
      </c>
      <c r="I21" s="17" t="s">
        <v>313</v>
      </c>
      <c r="J21" s="17">
        <v>3.6824238120000001</v>
      </c>
      <c r="K21" s="17">
        <v>3.6824238120000001</v>
      </c>
    </row>
    <row r="22" spans="1:11">
      <c r="A22" s="16" t="s">
        <v>156</v>
      </c>
      <c r="B22" s="17">
        <v>12.74319223</v>
      </c>
      <c r="C22" s="17">
        <v>11.496698930000001</v>
      </c>
      <c r="D22" s="17" t="s">
        <v>313</v>
      </c>
      <c r="E22" s="17">
        <v>3.951014185</v>
      </c>
      <c r="F22" s="17">
        <v>16.000695990000001</v>
      </c>
      <c r="G22" s="17">
        <v>29.820699879999999</v>
      </c>
      <c r="H22" s="17">
        <v>7.4627615350000003</v>
      </c>
      <c r="I22" s="17" t="s">
        <v>313</v>
      </c>
      <c r="J22" s="17">
        <v>12.59068023</v>
      </c>
      <c r="K22" s="17">
        <v>11.95955446</v>
      </c>
    </row>
    <row r="23" spans="1:11">
      <c r="A23" s="16" t="s">
        <v>320</v>
      </c>
      <c r="B23" s="17">
        <v>9.7286089849999993</v>
      </c>
      <c r="C23" s="17">
        <v>233.60154800000001</v>
      </c>
      <c r="D23" s="17" t="s">
        <v>313</v>
      </c>
      <c r="E23" s="17">
        <v>7.3322775330000001</v>
      </c>
      <c r="F23" s="17">
        <v>29.678091770000002</v>
      </c>
      <c r="G23" s="17">
        <v>18.76697622</v>
      </c>
      <c r="H23" s="17">
        <v>4.7922645409999998</v>
      </c>
      <c r="I23" s="17" t="s">
        <v>313</v>
      </c>
      <c r="J23" s="17">
        <v>14.56139301</v>
      </c>
      <c r="K23" s="17">
        <v>12.59993047</v>
      </c>
    </row>
    <row r="24" spans="1:11">
      <c r="A24" s="16" t="s">
        <v>190</v>
      </c>
      <c r="B24" s="17">
        <v>22.670384519999999</v>
      </c>
      <c r="C24" s="17" t="s">
        <v>313</v>
      </c>
      <c r="D24" s="17" t="s">
        <v>313</v>
      </c>
      <c r="E24" s="17">
        <v>5.7104369789999998</v>
      </c>
      <c r="F24" s="17">
        <v>15.71824644</v>
      </c>
      <c r="G24" s="17">
        <v>20.221637950000002</v>
      </c>
      <c r="H24" s="17">
        <v>5.6510032499999996</v>
      </c>
      <c r="I24" s="17" t="s">
        <v>313</v>
      </c>
      <c r="J24" s="17">
        <v>17.025159089999999</v>
      </c>
      <c r="K24" s="17">
        <v>16.847843180000002</v>
      </c>
    </row>
    <row r="25" spans="1:11">
      <c r="A25" s="16" t="s">
        <v>182</v>
      </c>
      <c r="B25" s="17">
        <v>26.024138220000001</v>
      </c>
      <c r="C25" s="17" t="s">
        <v>313</v>
      </c>
      <c r="D25" s="17" t="s">
        <v>313</v>
      </c>
      <c r="E25" s="17">
        <v>26.448738169999999</v>
      </c>
      <c r="F25" s="17">
        <v>43.857989189999998</v>
      </c>
      <c r="G25" s="17">
        <v>68.597967049999994</v>
      </c>
      <c r="H25" s="17">
        <v>7.2830972660000004</v>
      </c>
      <c r="I25" s="17" t="s">
        <v>313</v>
      </c>
      <c r="J25" s="17">
        <v>31.927265989999999</v>
      </c>
      <c r="K25" s="17">
        <v>32.93590244</v>
      </c>
    </row>
    <row r="26" spans="1:11">
      <c r="A26" s="16" t="s">
        <v>167</v>
      </c>
      <c r="B26" s="17">
        <v>36.002334500000003</v>
      </c>
      <c r="C26" s="17">
        <v>260.22487330000001</v>
      </c>
      <c r="D26" s="17" t="s">
        <v>313</v>
      </c>
      <c r="E26" s="17">
        <v>6.4166780960000001</v>
      </c>
      <c r="F26" s="17">
        <v>19.637807949999999</v>
      </c>
      <c r="G26" s="17">
        <v>15.657436300000001</v>
      </c>
      <c r="H26" s="17">
        <v>9.2242275169999992</v>
      </c>
      <c r="I26" s="17" t="s">
        <v>313</v>
      </c>
      <c r="J26" s="17">
        <v>26.187232300000002</v>
      </c>
      <c r="K26" s="17">
        <v>23.37938565</v>
      </c>
    </row>
    <row r="27" spans="1:11">
      <c r="A27" s="16" t="s">
        <v>187</v>
      </c>
      <c r="B27" s="17">
        <v>37.576186919999998</v>
      </c>
      <c r="C27" s="17">
        <v>45.703669220000002</v>
      </c>
      <c r="D27" s="17" t="s">
        <v>313</v>
      </c>
      <c r="E27" s="17">
        <v>12.46944435</v>
      </c>
      <c r="F27" s="17">
        <v>91.398730889999996</v>
      </c>
      <c r="G27" s="17">
        <v>24.752859109999999</v>
      </c>
      <c r="H27" s="17">
        <v>6.1647013800000003</v>
      </c>
      <c r="I27" s="17" t="s">
        <v>313</v>
      </c>
      <c r="J27" s="17">
        <v>48.471880239999997</v>
      </c>
      <c r="K27" s="17">
        <v>42.19389718</v>
      </c>
    </row>
    <row r="28" spans="1:11">
      <c r="A28" s="16" t="s">
        <v>162</v>
      </c>
      <c r="B28" s="17">
        <v>8.9339366190000007</v>
      </c>
      <c r="C28" s="17" t="s">
        <v>313</v>
      </c>
      <c r="D28" s="17" t="s">
        <v>313</v>
      </c>
      <c r="E28" s="17">
        <v>0.51500000000000001</v>
      </c>
      <c r="F28" s="17">
        <v>28.837511639999999</v>
      </c>
      <c r="G28" s="17">
        <v>22.85466959</v>
      </c>
      <c r="H28" s="17">
        <v>28.889149230000001</v>
      </c>
      <c r="I28" s="17" t="s">
        <v>313</v>
      </c>
      <c r="J28" s="17">
        <v>13.741056090000001</v>
      </c>
      <c r="K28" s="17">
        <v>11.06458001</v>
      </c>
    </row>
    <row r="29" spans="1:11">
      <c r="A29" s="16" t="s">
        <v>148</v>
      </c>
      <c r="B29" s="17">
        <v>2.6781086009999999</v>
      </c>
      <c r="C29" s="17" t="s">
        <v>313</v>
      </c>
      <c r="D29" s="17" t="s">
        <v>313</v>
      </c>
      <c r="E29" s="17">
        <v>3.6976006770000001</v>
      </c>
      <c r="F29" s="17">
        <v>27.807850389999999</v>
      </c>
      <c r="G29" s="17">
        <v>26.22269249</v>
      </c>
      <c r="H29" s="17">
        <v>8.7311471380000008</v>
      </c>
      <c r="I29" s="17" t="s">
        <v>313</v>
      </c>
      <c r="J29" s="17">
        <v>9.2914403459999999</v>
      </c>
      <c r="K29" s="17">
        <v>8.586194764</v>
      </c>
    </row>
    <row r="30" spans="1:11">
      <c r="A30" s="16" t="s">
        <v>61</v>
      </c>
      <c r="B30" s="17">
        <v>1.5340051400000001</v>
      </c>
      <c r="C30" s="17" t="s">
        <v>313</v>
      </c>
      <c r="D30" s="17" t="s">
        <v>313</v>
      </c>
      <c r="E30" s="17">
        <v>2.0443091280000001</v>
      </c>
      <c r="F30" s="17">
        <v>11.23501583</v>
      </c>
      <c r="G30" s="17">
        <v>3.2924071389999998</v>
      </c>
      <c r="H30" s="17">
        <v>1.4814446569999999</v>
      </c>
      <c r="I30" s="17" t="s">
        <v>313</v>
      </c>
      <c r="J30" s="17">
        <v>4.6403450900000003</v>
      </c>
      <c r="K30" s="17">
        <v>4.5634858139999999</v>
      </c>
    </row>
    <row r="31" spans="1:11">
      <c r="A31" s="16" t="s">
        <v>83</v>
      </c>
      <c r="B31" s="17">
        <v>4.7871566469999998</v>
      </c>
      <c r="C31" s="17">
        <v>65.484329329999994</v>
      </c>
      <c r="D31" s="17" t="s">
        <v>313</v>
      </c>
      <c r="E31" s="17">
        <v>0.54</v>
      </c>
      <c r="F31" s="17">
        <v>120.13962549999999</v>
      </c>
      <c r="G31" s="17">
        <v>318.72214869999999</v>
      </c>
      <c r="H31" s="17">
        <v>0.82517704800000002</v>
      </c>
      <c r="I31" s="17" t="s">
        <v>313</v>
      </c>
      <c r="J31" s="17">
        <v>22.31879872</v>
      </c>
      <c r="K31" s="17">
        <v>18.46888345</v>
      </c>
    </row>
    <row r="32" spans="1:11">
      <c r="A32" s="16" t="s">
        <v>188</v>
      </c>
      <c r="B32" s="17">
        <v>84.437434280000005</v>
      </c>
      <c r="C32" s="17">
        <v>36.824815979999997</v>
      </c>
      <c r="D32" s="17" t="s">
        <v>313</v>
      </c>
      <c r="E32" s="17">
        <v>9.856782334</v>
      </c>
      <c r="F32" s="17">
        <v>125.6391167</v>
      </c>
      <c r="G32" s="17">
        <v>40.660567819999997</v>
      </c>
      <c r="H32" s="17">
        <v>2.5993690850000002</v>
      </c>
      <c r="I32" s="17" t="s">
        <v>313</v>
      </c>
      <c r="J32" s="17">
        <v>77.100029570000004</v>
      </c>
      <c r="K32" s="17">
        <v>56.415855630000003</v>
      </c>
    </row>
    <row r="33" spans="1:11">
      <c r="A33" s="16" t="s">
        <v>165</v>
      </c>
      <c r="B33" s="17">
        <v>3.6226985470000002</v>
      </c>
      <c r="C33" s="17">
        <v>14.09626435</v>
      </c>
      <c r="D33" s="17" t="s">
        <v>313</v>
      </c>
      <c r="E33" s="17" t="s">
        <v>313</v>
      </c>
      <c r="F33" s="17">
        <v>6.2544752770000001</v>
      </c>
      <c r="G33" s="17">
        <v>3.5565200909999999</v>
      </c>
      <c r="H33" s="17">
        <v>1.3911677149999999</v>
      </c>
      <c r="I33" s="17" t="s">
        <v>313</v>
      </c>
      <c r="J33" s="17">
        <v>4.1786604599999997</v>
      </c>
      <c r="K33" s="17">
        <v>6.6570664449999999</v>
      </c>
    </row>
    <row r="34" spans="1:11">
      <c r="A34" s="16" t="s">
        <v>171</v>
      </c>
      <c r="B34" s="17">
        <v>5.0517886230000002</v>
      </c>
      <c r="C34" s="17" t="s">
        <v>313</v>
      </c>
      <c r="D34" s="17" t="s">
        <v>313</v>
      </c>
      <c r="E34" s="17" t="s">
        <v>313</v>
      </c>
      <c r="F34" s="17">
        <v>52.555477539999998</v>
      </c>
      <c r="G34" s="17">
        <v>48.900490140000002</v>
      </c>
      <c r="H34" s="17">
        <v>2.49742014</v>
      </c>
      <c r="I34" s="17" t="s">
        <v>313</v>
      </c>
      <c r="J34" s="17">
        <v>20.589648749999999</v>
      </c>
      <c r="K34" s="17">
        <v>20.750840589999999</v>
      </c>
    </row>
    <row r="35" spans="1:11">
      <c r="A35" s="16" t="s">
        <v>132</v>
      </c>
      <c r="B35" s="17">
        <v>6.9443320909999997</v>
      </c>
      <c r="C35" s="17">
        <v>16.56588996</v>
      </c>
      <c r="D35" s="17" t="s">
        <v>313</v>
      </c>
      <c r="E35" s="17">
        <v>8.4629856910000001</v>
      </c>
      <c r="F35" s="17">
        <v>10.51619634</v>
      </c>
      <c r="G35" s="17">
        <v>6.2071658569999997</v>
      </c>
      <c r="H35" s="17">
        <v>2.3389021489999999</v>
      </c>
      <c r="I35" s="17" t="s">
        <v>313</v>
      </c>
      <c r="J35" s="17">
        <v>13.75798225</v>
      </c>
      <c r="K35" s="17">
        <v>13.39827476</v>
      </c>
    </row>
    <row r="36" spans="1:11">
      <c r="A36" s="16" t="s">
        <v>118</v>
      </c>
      <c r="B36" s="17">
        <v>12.88924677</v>
      </c>
      <c r="C36" s="17">
        <v>36.51903944</v>
      </c>
      <c r="D36" s="17" t="s">
        <v>313</v>
      </c>
      <c r="E36" s="17">
        <v>1.015693798</v>
      </c>
      <c r="F36" s="17">
        <v>13.21489981</v>
      </c>
      <c r="G36" s="17">
        <v>33.604886649999997</v>
      </c>
      <c r="H36" s="17">
        <v>2.4606946750000001</v>
      </c>
      <c r="I36" s="17" t="s">
        <v>313</v>
      </c>
      <c r="J36" s="17">
        <v>13.02614286</v>
      </c>
      <c r="K36" s="17">
        <v>11.0853395</v>
      </c>
    </row>
    <row r="37" spans="1:11">
      <c r="A37" s="16" t="s">
        <v>74</v>
      </c>
      <c r="B37" s="17">
        <v>0.94080461999999998</v>
      </c>
      <c r="C37" s="17" t="s">
        <v>313</v>
      </c>
      <c r="D37" s="17" t="s">
        <v>313</v>
      </c>
      <c r="E37" s="17">
        <v>0.5</v>
      </c>
      <c r="F37" s="17" t="s">
        <v>313</v>
      </c>
      <c r="G37" s="17" t="s">
        <v>313</v>
      </c>
      <c r="H37" s="17">
        <v>4.1056039560000004</v>
      </c>
      <c r="I37" s="17" t="s">
        <v>313</v>
      </c>
      <c r="J37" s="17">
        <v>2.2009241030000002</v>
      </c>
      <c r="K37" s="17">
        <v>1.9455996719999999</v>
      </c>
    </row>
    <row r="38" spans="1:11">
      <c r="A38" s="16" t="s">
        <v>184</v>
      </c>
      <c r="B38" s="17">
        <v>36.387803359999999</v>
      </c>
      <c r="C38" s="17" t="s">
        <v>313</v>
      </c>
      <c r="D38" s="17" t="s">
        <v>313</v>
      </c>
      <c r="E38" s="17" t="s">
        <v>313</v>
      </c>
      <c r="F38" s="17" t="s">
        <v>313</v>
      </c>
      <c r="G38" s="17" t="s">
        <v>313</v>
      </c>
      <c r="H38" s="17">
        <v>6.0737170809999999</v>
      </c>
      <c r="I38" s="17" t="s">
        <v>313</v>
      </c>
      <c r="J38" s="17">
        <v>29.172508300000001</v>
      </c>
      <c r="K38" s="17">
        <v>28.591309299999999</v>
      </c>
    </row>
    <row r="39" spans="1:11">
      <c r="A39" s="16" t="s">
        <v>179</v>
      </c>
      <c r="B39" s="17">
        <v>7.9977820030000002</v>
      </c>
      <c r="C39" s="17">
        <v>4.9454372619999996</v>
      </c>
      <c r="D39" s="17" t="s">
        <v>313</v>
      </c>
      <c r="E39" s="17">
        <v>11.854082740000001</v>
      </c>
      <c r="F39" s="17">
        <v>24.345584559999999</v>
      </c>
      <c r="G39" s="17">
        <v>10.387699189999999</v>
      </c>
      <c r="H39" s="17">
        <v>6.9531235049999998</v>
      </c>
      <c r="I39" s="17" t="s">
        <v>313</v>
      </c>
      <c r="J39" s="17">
        <v>9.7840764920000005</v>
      </c>
      <c r="K39" s="17">
        <v>10.61710319</v>
      </c>
    </row>
    <row r="40" spans="1:11">
      <c r="A40" s="16" t="s">
        <v>193</v>
      </c>
      <c r="B40" s="17">
        <v>17.577523840000001</v>
      </c>
      <c r="C40" s="17" t="s">
        <v>313</v>
      </c>
      <c r="D40" s="17" t="s">
        <v>313</v>
      </c>
      <c r="E40" s="17">
        <v>19.218213949999999</v>
      </c>
      <c r="F40" s="17">
        <v>30.858465679999998</v>
      </c>
      <c r="G40" s="17">
        <v>12.154063020000001</v>
      </c>
      <c r="H40" s="17">
        <v>6.7529647449999999</v>
      </c>
      <c r="I40" s="17" t="s">
        <v>313</v>
      </c>
      <c r="J40" s="17">
        <v>17.14718461</v>
      </c>
      <c r="K40" s="17">
        <v>19.285295619999999</v>
      </c>
    </row>
    <row r="41" spans="1:11">
      <c r="A41" s="16" t="s">
        <v>107</v>
      </c>
      <c r="B41" s="17">
        <v>11.45471762</v>
      </c>
      <c r="C41" s="17">
        <v>30.494411899999999</v>
      </c>
      <c r="D41" s="17" t="s">
        <v>313</v>
      </c>
      <c r="E41" s="17" t="s">
        <v>313</v>
      </c>
      <c r="F41" s="17">
        <v>45.871241859999998</v>
      </c>
      <c r="G41" s="17">
        <v>29.052013150000001</v>
      </c>
      <c r="H41" s="17">
        <v>2.993273351</v>
      </c>
      <c r="I41" s="17" t="s">
        <v>313</v>
      </c>
      <c r="J41" s="17">
        <v>12.35022307</v>
      </c>
      <c r="K41" s="17">
        <v>12.347089820000001</v>
      </c>
    </row>
    <row r="42" spans="1:11">
      <c r="A42" s="16" t="s">
        <v>159</v>
      </c>
      <c r="B42" s="17">
        <v>5.9650460860000001</v>
      </c>
      <c r="C42" s="17">
        <v>36.860967909999999</v>
      </c>
      <c r="D42" s="17" t="s">
        <v>313</v>
      </c>
      <c r="E42" s="17" t="s">
        <v>313</v>
      </c>
      <c r="F42" s="17" t="s">
        <v>313</v>
      </c>
      <c r="G42" s="17" t="s">
        <v>313</v>
      </c>
      <c r="H42" s="17" t="s">
        <v>313</v>
      </c>
      <c r="I42" s="17" t="s">
        <v>313</v>
      </c>
      <c r="J42" s="17">
        <v>17.627150719999999</v>
      </c>
      <c r="K42" s="17">
        <v>17.59289484</v>
      </c>
    </row>
    <row r="43" spans="1:11">
      <c r="A43" s="16" t="s">
        <v>153</v>
      </c>
      <c r="B43" s="17">
        <v>3.3937991489999999</v>
      </c>
      <c r="C43" s="17">
        <v>4.9278587659999999</v>
      </c>
      <c r="D43" s="17" t="s">
        <v>313</v>
      </c>
      <c r="E43" s="17">
        <v>2.1247709370000001</v>
      </c>
      <c r="F43" s="17">
        <v>8.7147511550000001</v>
      </c>
      <c r="G43" s="17">
        <v>10.49920363</v>
      </c>
      <c r="H43" s="17">
        <v>0.98494256800000002</v>
      </c>
      <c r="I43" s="17" t="s">
        <v>313</v>
      </c>
      <c r="J43" s="17">
        <v>3.7525244679999998</v>
      </c>
      <c r="K43" s="17">
        <v>3.8769434999999999</v>
      </c>
    </row>
    <row r="44" spans="1:11">
      <c r="A44" s="16" t="s">
        <v>142</v>
      </c>
      <c r="B44" s="17">
        <v>9.1220773140000002</v>
      </c>
      <c r="C44" s="17" t="s">
        <v>313</v>
      </c>
      <c r="D44" s="17" t="s">
        <v>313</v>
      </c>
      <c r="E44" s="17">
        <v>0.57499999999999996</v>
      </c>
      <c r="F44" s="17">
        <v>16.05227223</v>
      </c>
      <c r="G44" s="17">
        <v>11.19263273</v>
      </c>
      <c r="H44" s="17">
        <v>0.53500000000000003</v>
      </c>
      <c r="I44" s="17" t="s">
        <v>313</v>
      </c>
      <c r="J44" s="17">
        <v>8.2159644529999998</v>
      </c>
      <c r="K44" s="17">
        <v>7.5190443580000004</v>
      </c>
    </row>
    <row r="45" spans="1:11">
      <c r="A45" s="16" t="s">
        <v>130</v>
      </c>
      <c r="B45" s="17">
        <v>1.297811214</v>
      </c>
      <c r="C45" s="17">
        <v>0.94974246100000004</v>
      </c>
      <c r="D45" s="17" t="s">
        <v>313</v>
      </c>
      <c r="E45" s="17">
        <v>0.329758149</v>
      </c>
      <c r="F45" s="17">
        <v>20.469299299999999</v>
      </c>
      <c r="G45" s="17">
        <v>72.47797851</v>
      </c>
      <c r="H45" s="17">
        <v>1.3660044659999999</v>
      </c>
      <c r="I45" s="17" t="s">
        <v>313</v>
      </c>
      <c r="J45" s="17">
        <v>4.89136697</v>
      </c>
      <c r="K45" s="17">
        <v>4.4913327939999999</v>
      </c>
    </row>
    <row r="46" spans="1:11">
      <c r="A46" s="16" t="s">
        <v>186</v>
      </c>
      <c r="B46" s="17">
        <v>16.879086390000001</v>
      </c>
      <c r="C46" s="17" t="s">
        <v>313</v>
      </c>
      <c r="D46" s="17" t="s">
        <v>313</v>
      </c>
      <c r="E46" s="17">
        <v>12.76248998</v>
      </c>
      <c r="F46" s="17">
        <v>9.6816914809999997</v>
      </c>
      <c r="G46" s="17">
        <v>27.1589505</v>
      </c>
      <c r="H46" s="17">
        <v>4.7329604779999999</v>
      </c>
      <c r="I46" s="17" t="s">
        <v>313</v>
      </c>
      <c r="J46" s="17">
        <v>12.206185899999999</v>
      </c>
      <c r="K46" s="17">
        <v>12.364403729999999</v>
      </c>
    </row>
    <row r="47" spans="1:11">
      <c r="A47" s="16" t="s">
        <v>85</v>
      </c>
      <c r="B47" s="17">
        <v>2.4564466309999999</v>
      </c>
      <c r="C47" s="17">
        <v>4.4471631279999997</v>
      </c>
      <c r="D47" s="17" t="s">
        <v>313</v>
      </c>
      <c r="E47" s="17">
        <v>16.48182817</v>
      </c>
      <c r="F47" s="17">
        <v>9.7956010370000008</v>
      </c>
      <c r="G47" s="17">
        <v>4.3558348870000003</v>
      </c>
      <c r="H47" s="17">
        <v>1.5471979769999999</v>
      </c>
      <c r="I47" s="17" t="s">
        <v>313</v>
      </c>
      <c r="J47" s="17">
        <v>3.927281764</v>
      </c>
      <c r="K47" s="17">
        <v>4.0922992249999997</v>
      </c>
    </row>
    <row r="48" spans="1:11">
      <c r="A48" s="16" t="s">
        <v>176</v>
      </c>
      <c r="B48" s="17">
        <v>39.545494329999997</v>
      </c>
      <c r="C48" s="17">
        <v>36.763641810000003</v>
      </c>
      <c r="D48" s="17" t="s">
        <v>313</v>
      </c>
      <c r="E48" s="17">
        <v>1.4733306500000001</v>
      </c>
      <c r="F48" s="17">
        <v>48.4875501</v>
      </c>
      <c r="G48" s="17">
        <v>28.997417890000001</v>
      </c>
      <c r="H48" s="17">
        <v>16.170045819999999</v>
      </c>
      <c r="I48" s="17" t="s">
        <v>313</v>
      </c>
      <c r="J48" s="17">
        <v>39.075705640000002</v>
      </c>
      <c r="K48" s="17">
        <v>31.486890209999999</v>
      </c>
    </row>
    <row r="49" spans="1:11">
      <c r="A49" s="16" t="s">
        <v>168</v>
      </c>
      <c r="B49" s="17">
        <v>5.2997139579999999</v>
      </c>
      <c r="C49" s="17">
        <v>4.8760332919999998</v>
      </c>
      <c r="D49" s="17" t="s">
        <v>313</v>
      </c>
      <c r="E49" s="17">
        <v>8.9017451449999996</v>
      </c>
      <c r="F49" s="17">
        <v>18.70789495</v>
      </c>
      <c r="G49" s="17">
        <v>9.8306404749999992</v>
      </c>
      <c r="H49" s="17">
        <v>14.54876213</v>
      </c>
      <c r="I49" s="17" t="s">
        <v>313</v>
      </c>
      <c r="J49" s="17">
        <v>9.8103250890000009</v>
      </c>
      <c r="K49" s="17">
        <v>10.381103059999999</v>
      </c>
    </row>
    <row r="50" spans="1:11">
      <c r="A50" s="16" t="s">
        <v>189</v>
      </c>
      <c r="B50" s="17">
        <v>13.383982400000001</v>
      </c>
      <c r="C50" s="17" t="s">
        <v>313</v>
      </c>
      <c r="D50" s="17" t="s">
        <v>313</v>
      </c>
      <c r="E50" s="17" t="s">
        <v>313</v>
      </c>
      <c r="F50" s="17" t="s">
        <v>313</v>
      </c>
      <c r="G50" s="17">
        <v>16.94151939</v>
      </c>
      <c r="H50" s="17">
        <v>0.52500000000000002</v>
      </c>
      <c r="I50" s="17" t="s">
        <v>313</v>
      </c>
      <c r="J50" s="17">
        <v>11.2742696</v>
      </c>
      <c r="K50" s="17">
        <v>11.118477439999999</v>
      </c>
    </row>
    <row r="51" spans="1:11">
      <c r="A51" s="16" t="s">
        <v>194</v>
      </c>
      <c r="B51" s="17">
        <v>184.0461387</v>
      </c>
      <c r="C51" s="17" t="s">
        <v>313</v>
      </c>
      <c r="D51" s="17" t="s">
        <v>313</v>
      </c>
      <c r="E51" s="17">
        <v>27.448979059999999</v>
      </c>
      <c r="F51" s="17">
        <v>56.121163000000003</v>
      </c>
      <c r="G51" s="17">
        <v>49.064029599999998</v>
      </c>
      <c r="H51" s="17">
        <v>26.283797079999999</v>
      </c>
      <c r="I51" s="17" t="s">
        <v>313</v>
      </c>
      <c r="J51" s="17">
        <v>85.351241110000004</v>
      </c>
      <c r="K51" s="17">
        <v>75.048354090000004</v>
      </c>
    </row>
    <row r="52" spans="1:11">
      <c r="A52" s="16" t="s">
        <v>261</v>
      </c>
      <c r="B52" s="17">
        <v>8.316511942</v>
      </c>
      <c r="C52" s="17">
        <v>9.5109670939999997</v>
      </c>
      <c r="D52" s="17" t="s">
        <v>313</v>
      </c>
      <c r="E52" s="17" t="s">
        <v>313</v>
      </c>
      <c r="F52" s="17">
        <v>16.197511970000001</v>
      </c>
      <c r="G52" s="17">
        <v>6.7822297870000003</v>
      </c>
      <c r="H52" s="17" t="s">
        <v>313</v>
      </c>
      <c r="I52" s="17" t="s">
        <v>313</v>
      </c>
      <c r="J52" s="17">
        <v>9.8939709899999997</v>
      </c>
      <c r="K52" s="17">
        <v>9.8939709899999997</v>
      </c>
    </row>
    <row r="53" spans="1:11">
      <c r="A53" s="16" t="s">
        <v>129</v>
      </c>
      <c r="B53" s="17">
        <v>3.0012995459999998</v>
      </c>
      <c r="C53" s="17" t="s">
        <v>313</v>
      </c>
      <c r="D53" s="17" t="s">
        <v>313</v>
      </c>
      <c r="E53" s="17">
        <v>3.6231380550000001</v>
      </c>
      <c r="F53" s="17">
        <v>16.749215929999998</v>
      </c>
      <c r="G53" s="17">
        <v>47.476994169999998</v>
      </c>
      <c r="H53" s="17">
        <v>1.5597981169999999</v>
      </c>
      <c r="I53" s="17" t="s">
        <v>313</v>
      </c>
      <c r="J53" s="17">
        <v>6.6875176789999999</v>
      </c>
      <c r="K53" s="17">
        <v>6.4523684269999997</v>
      </c>
    </row>
    <row r="54" spans="1:11">
      <c r="A54" s="16" t="s">
        <v>180</v>
      </c>
      <c r="B54" s="17">
        <v>11.00517666</v>
      </c>
      <c r="C54" s="17">
        <v>6.8790176189999999</v>
      </c>
      <c r="D54" s="17" t="s">
        <v>313</v>
      </c>
      <c r="E54" s="17">
        <v>2.3428251800000002</v>
      </c>
      <c r="F54" s="17">
        <v>0.49</v>
      </c>
      <c r="G54" s="17">
        <v>0.49</v>
      </c>
      <c r="H54" s="17">
        <v>2.7006124200000001</v>
      </c>
      <c r="I54" s="17" t="s">
        <v>313</v>
      </c>
      <c r="J54" s="17">
        <v>7.4173888139999997</v>
      </c>
      <c r="K54" s="17">
        <v>12.14443165</v>
      </c>
    </row>
    <row r="55" spans="1:11">
      <c r="A55" s="16" t="s">
        <v>175</v>
      </c>
      <c r="B55" s="17">
        <v>112.4948079</v>
      </c>
      <c r="C55" s="17">
        <v>30.060972110000002</v>
      </c>
      <c r="D55" s="17" t="s">
        <v>313</v>
      </c>
      <c r="E55" s="17" t="s">
        <v>313</v>
      </c>
      <c r="F55" s="17">
        <v>129.53398060000001</v>
      </c>
      <c r="G55" s="17">
        <v>34.264291499999999</v>
      </c>
      <c r="H55" s="17">
        <v>5.6549395000000002</v>
      </c>
      <c r="I55" s="17" t="s">
        <v>313</v>
      </c>
      <c r="J55" s="17">
        <v>61.070828679999998</v>
      </c>
      <c r="K55" s="17">
        <v>53.033423980000002</v>
      </c>
    </row>
    <row r="56" spans="1:11">
      <c r="A56" s="16" t="s">
        <v>143</v>
      </c>
      <c r="B56" s="17">
        <v>24.04475854</v>
      </c>
      <c r="C56" s="17" t="s">
        <v>313</v>
      </c>
      <c r="D56" s="17" t="s">
        <v>313</v>
      </c>
      <c r="E56" s="17" t="s">
        <v>313</v>
      </c>
      <c r="F56" s="17">
        <v>57.499128130000003</v>
      </c>
      <c r="G56" s="17">
        <v>41.980794000000003</v>
      </c>
      <c r="H56" s="17">
        <v>1.4727079919999999</v>
      </c>
      <c r="I56" s="17" t="s">
        <v>313</v>
      </c>
      <c r="J56" s="17">
        <v>23.312772330000001</v>
      </c>
      <c r="K56" s="17">
        <v>23.312772330000001</v>
      </c>
    </row>
    <row r="57" spans="1:11" s="16" customFormat="1">
      <c r="A57" s="18"/>
      <c r="C57" s="19"/>
    </row>
    <row r="58" spans="1:11" s="16" customFormat="1">
      <c r="A58" s="18"/>
      <c r="C58" s="19"/>
    </row>
    <row r="59" spans="1:11" s="16" customFormat="1">
      <c r="A59" s="18"/>
      <c r="C59" s="19"/>
    </row>
    <row r="60" spans="1:11" s="16" customFormat="1">
      <c r="A60" s="18"/>
      <c r="C60" s="19"/>
    </row>
    <row r="61" spans="1:11" s="16" customFormat="1">
      <c r="A61" s="18"/>
      <c r="C61" s="19"/>
    </row>
    <row r="62" spans="1:11" s="16" customFormat="1">
      <c r="A62" s="18"/>
      <c r="C62" s="19"/>
    </row>
    <row r="63" spans="1:11" s="16" customFormat="1">
      <c r="A63" s="18"/>
      <c r="C63" s="19"/>
    </row>
    <row r="64" spans="1:11" s="16" customFormat="1">
      <c r="A64" s="18"/>
      <c r="C64" s="19"/>
    </row>
    <row r="65" spans="1:3" s="16" customFormat="1">
      <c r="A65" s="18"/>
      <c r="C65" s="19"/>
    </row>
    <row r="66" spans="1:3" s="16" customFormat="1">
      <c r="A66" s="18"/>
      <c r="C66" s="19"/>
    </row>
    <row r="67" spans="1:3" s="16" customFormat="1">
      <c r="A67" s="18"/>
      <c r="C67" s="19"/>
    </row>
    <row r="68" spans="1:3" s="16" customFormat="1">
      <c r="A68" s="18"/>
      <c r="C68" s="19"/>
    </row>
    <row r="69" spans="1:3" s="16" customFormat="1">
      <c r="A69" s="18"/>
      <c r="C69" s="19"/>
    </row>
    <row r="70" spans="1:3" s="16" customFormat="1">
      <c r="A70" s="18"/>
      <c r="C70" s="19"/>
    </row>
    <row r="71" spans="1:3" s="16" customFormat="1">
      <c r="A71" s="18"/>
      <c r="C71" s="19"/>
    </row>
    <row r="72" spans="1:3" s="16" customFormat="1">
      <c r="A72" s="18"/>
      <c r="C72" s="19"/>
    </row>
    <row r="73" spans="1:3" s="16" customFormat="1">
      <c r="A73" s="18"/>
      <c r="C73" s="19"/>
    </row>
    <row r="74" spans="1:3" s="16" customFormat="1">
      <c r="A74" s="18"/>
      <c r="C74" s="19"/>
    </row>
    <row r="75" spans="1:3" s="16" customFormat="1">
      <c r="A75" s="18"/>
      <c r="C75" s="19"/>
    </row>
    <row r="76" spans="1:3" s="16" customFormat="1">
      <c r="A76" s="18"/>
      <c r="C76" s="19"/>
    </row>
    <row r="77" spans="1:3" s="16" customFormat="1">
      <c r="A77" s="18"/>
      <c r="C77" s="19"/>
    </row>
    <row r="78" spans="1:3" s="16" customFormat="1">
      <c r="A78" s="18"/>
      <c r="C78" s="19"/>
    </row>
    <row r="79" spans="1:3" s="16" customFormat="1">
      <c r="A79" s="18"/>
      <c r="C79" s="19"/>
    </row>
    <row r="80" spans="1:3" s="16" customFormat="1">
      <c r="A80" s="18"/>
      <c r="C80" s="19"/>
    </row>
    <row r="81" spans="1:3" s="16" customFormat="1">
      <c r="A81" s="18"/>
      <c r="C81" s="19"/>
    </row>
    <row r="82" spans="1:3" s="16" customFormat="1">
      <c r="A82" s="18"/>
      <c r="C82" s="19"/>
    </row>
    <row r="83" spans="1:3" s="16" customFormat="1">
      <c r="A83" s="18"/>
      <c r="C83" s="19"/>
    </row>
    <row r="84" spans="1:3" s="16" customFormat="1">
      <c r="A84" s="18"/>
      <c r="C84" s="19"/>
    </row>
    <row r="85" spans="1:3" s="16" customFormat="1">
      <c r="A85" s="18"/>
      <c r="C85" s="19"/>
    </row>
    <row r="86" spans="1:3" s="16" customFormat="1">
      <c r="A86" s="18"/>
      <c r="C86" s="19"/>
    </row>
  </sheetData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931-B26C-49D5-8C04-E3AC54A548B3}">
  <sheetPr>
    <tabColor rgb="FFFF0000"/>
  </sheetPr>
  <dimension ref="A1:G30"/>
  <sheetViews>
    <sheetView workbookViewId="0">
      <selection activeCell="E1" sqref="E1"/>
    </sheetView>
  </sheetViews>
  <sheetFormatPr baseColWidth="10" defaultColWidth="8.83203125" defaultRowHeight="15"/>
  <cols>
    <col min="1" max="1" width="14.5" bestFit="1" customWidth="1"/>
    <col min="2" max="2" width="18.83203125" customWidth="1"/>
    <col min="3" max="3" width="22.5" customWidth="1"/>
    <col min="4" max="4" width="5.5" customWidth="1"/>
    <col min="5" max="5" width="15.83203125" customWidth="1"/>
    <col min="6" max="6" width="24" customWidth="1"/>
  </cols>
  <sheetData>
    <row r="1" spans="1:7">
      <c r="B1" s="126" t="s">
        <v>328</v>
      </c>
      <c r="C1" s="126" t="s">
        <v>329</v>
      </c>
      <c r="D1" s="96"/>
      <c r="E1" s="96" t="s">
        <v>330</v>
      </c>
      <c r="F1" s="96" t="s">
        <v>329</v>
      </c>
    </row>
    <row r="2" spans="1:7" ht="55" customHeight="1">
      <c r="A2" s="40" t="s">
        <v>332</v>
      </c>
      <c r="B2" s="141" t="s">
        <v>333</v>
      </c>
      <c r="C2" s="141"/>
      <c r="D2" s="96"/>
      <c r="E2" s="141" t="s">
        <v>334</v>
      </c>
      <c r="F2" s="142"/>
    </row>
    <row r="3" spans="1:7">
      <c r="A3" t="s">
        <v>212</v>
      </c>
    </row>
    <row r="4" spans="1:7" ht="48">
      <c r="A4" s="114" t="s">
        <v>322</v>
      </c>
      <c r="B4" s="96">
        <v>100</v>
      </c>
      <c r="C4" s="41" t="s">
        <v>335</v>
      </c>
      <c r="D4" s="58"/>
      <c r="E4" s="96">
        <v>100</v>
      </c>
      <c r="F4" s="41" t="s">
        <v>346</v>
      </c>
      <c r="G4" s="5"/>
    </row>
    <row r="5" spans="1:7" ht="48">
      <c r="A5" s="114" t="s">
        <v>331</v>
      </c>
      <c r="B5" s="96">
        <v>96</v>
      </c>
      <c r="C5" s="41" t="s">
        <v>336</v>
      </c>
      <c r="D5" s="58"/>
      <c r="E5" s="96">
        <v>92</v>
      </c>
      <c r="F5" s="41" t="s">
        <v>347</v>
      </c>
      <c r="G5" s="5"/>
    </row>
    <row r="6" spans="1:7" ht="48">
      <c r="A6" s="114" t="s">
        <v>146</v>
      </c>
      <c r="B6" s="96">
        <v>96</v>
      </c>
      <c r="C6" s="41" t="s">
        <v>337</v>
      </c>
      <c r="D6" s="58"/>
      <c r="E6" s="96">
        <v>88</v>
      </c>
      <c r="F6" s="41" t="s">
        <v>348</v>
      </c>
      <c r="G6" s="5"/>
    </row>
    <row r="7" spans="1:7" ht="48">
      <c r="A7" s="114" t="s">
        <v>61</v>
      </c>
      <c r="B7" s="96">
        <v>88</v>
      </c>
      <c r="C7" s="41" t="s">
        <v>338</v>
      </c>
      <c r="D7" s="58"/>
      <c r="E7" s="96">
        <v>80</v>
      </c>
      <c r="F7" s="41" t="s">
        <v>349</v>
      </c>
      <c r="G7" s="5"/>
    </row>
    <row r="8" spans="1:7" ht="48">
      <c r="A8" s="114" t="s">
        <v>230</v>
      </c>
      <c r="B8" s="96">
        <v>84</v>
      </c>
      <c r="C8" s="41" t="s">
        <v>339</v>
      </c>
      <c r="D8" s="58"/>
      <c r="E8" s="96">
        <v>84</v>
      </c>
      <c r="F8" s="41" t="s">
        <v>350</v>
      </c>
      <c r="G8" s="5"/>
    </row>
    <row r="9" spans="1:7" ht="48">
      <c r="A9" s="114" t="s">
        <v>187</v>
      </c>
      <c r="B9" s="96">
        <v>84</v>
      </c>
      <c r="C9" s="41" t="s">
        <v>340</v>
      </c>
      <c r="D9" s="58"/>
      <c r="E9" s="96">
        <v>80</v>
      </c>
      <c r="F9" s="41" t="s">
        <v>351</v>
      </c>
      <c r="G9" s="5"/>
    </row>
    <row r="10" spans="1:7" ht="48">
      <c r="A10" s="114" t="s">
        <v>120</v>
      </c>
      <c r="B10" s="96">
        <v>80</v>
      </c>
      <c r="C10" s="41" t="s">
        <v>341</v>
      </c>
      <c r="D10" s="58"/>
      <c r="E10" s="96">
        <v>72</v>
      </c>
      <c r="F10" s="41" t="s">
        <v>352</v>
      </c>
      <c r="G10" s="5"/>
    </row>
    <row r="11" spans="1:7" ht="48">
      <c r="A11" s="114" t="s">
        <v>167</v>
      </c>
      <c r="B11" s="96">
        <v>80</v>
      </c>
      <c r="C11" s="41" t="s">
        <v>342</v>
      </c>
      <c r="D11" s="58"/>
      <c r="E11" s="96">
        <v>72</v>
      </c>
      <c r="F11" s="41" t="s">
        <v>353</v>
      </c>
      <c r="G11" s="5"/>
    </row>
    <row r="12" spans="1:7" ht="32">
      <c r="A12" s="114" t="s">
        <v>139</v>
      </c>
      <c r="B12" s="96">
        <v>76</v>
      </c>
      <c r="C12" s="41" t="s">
        <v>343</v>
      </c>
      <c r="D12" s="5"/>
      <c r="E12" s="96">
        <v>76</v>
      </c>
      <c r="F12" s="41" t="s">
        <v>354</v>
      </c>
      <c r="G12" s="5"/>
    </row>
    <row r="13" spans="1:7" ht="48">
      <c r="A13" s="114" t="s">
        <v>165</v>
      </c>
      <c r="B13" s="96">
        <v>76</v>
      </c>
      <c r="C13" s="41" t="s">
        <v>344</v>
      </c>
      <c r="D13" s="5"/>
      <c r="E13" s="96">
        <v>68</v>
      </c>
      <c r="F13" s="41" t="s">
        <v>355</v>
      </c>
      <c r="G13" s="5"/>
    </row>
    <row r="14" spans="1:7" ht="64">
      <c r="A14" s="114" t="s">
        <v>229</v>
      </c>
      <c r="B14" s="96">
        <v>72</v>
      </c>
      <c r="C14" s="41" t="s">
        <v>345</v>
      </c>
      <c r="D14" s="5"/>
      <c r="E14" s="96">
        <v>68</v>
      </c>
      <c r="F14" s="41" t="s">
        <v>356</v>
      </c>
      <c r="G14" s="5"/>
    </row>
    <row r="15" spans="1:7">
      <c r="A15" s="67" t="s">
        <v>90</v>
      </c>
      <c r="C15" s="5"/>
      <c r="D15" s="5"/>
      <c r="E15" s="5"/>
      <c r="G15" s="5"/>
    </row>
    <row r="16" spans="1:7">
      <c r="A16" s="67" t="s">
        <v>323</v>
      </c>
      <c r="C16" s="5"/>
      <c r="D16" s="5"/>
      <c r="E16" s="5"/>
      <c r="G16" s="5"/>
    </row>
    <row r="17" spans="1:7">
      <c r="A17" s="67" t="s">
        <v>161</v>
      </c>
      <c r="C17" s="5"/>
      <c r="D17" s="5"/>
      <c r="E17" s="41"/>
      <c r="G17" s="5"/>
    </row>
    <row r="18" spans="1:7">
      <c r="A18" s="67" t="s">
        <v>154</v>
      </c>
      <c r="C18" s="5"/>
      <c r="D18" s="5"/>
      <c r="E18" s="5"/>
      <c r="G18" s="5"/>
    </row>
    <row r="19" spans="1:7">
      <c r="A19" s="67" t="s">
        <v>177</v>
      </c>
      <c r="C19" s="5"/>
      <c r="D19" s="5"/>
      <c r="E19" s="5"/>
      <c r="G19" s="5"/>
    </row>
    <row r="20" spans="1:7">
      <c r="A20" s="67" t="s">
        <v>142</v>
      </c>
      <c r="C20" s="5"/>
      <c r="D20" s="5"/>
      <c r="E20" s="5"/>
      <c r="G20" s="5"/>
    </row>
    <row r="21" spans="1:7">
      <c r="A21" s="67" t="s">
        <v>136</v>
      </c>
      <c r="C21" s="5"/>
      <c r="D21" s="5"/>
      <c r="E21" s="5"/>
      <c r="G21" s="5"/>
    </row>
    <row r="22" spans="1:7">
      <c r="A22" s="67" t="s">
        <v>168</v>
      </c>
      <c r="C22" s="5"/>
      <c r="D22" s="5"/>
      <c r="E22" s="5"/>
      <c r="G22" s="5"/>
    </row>
    <row r="23" spans="1:7">
      <c r="A23" s="67" t="s">
        <v>184</v>
      </c>
      <c r="C23" s="5"/>
      <c r="D23" s="5"/>
      <c r="E23" s="5"/>
    </row>
    <row r="24" spans="1:7">
      <c r="A24" s="67" t="s">
        <v>171</v>
      </c>
      <c r="E24" s="5"/>
    </row>
    <row r="25" spans="1:7">
      <c r="A25" s="67" t="s">
        <v>89</v>
      </c>
    </row>
    <row r="26" spans="1:7">
      <c r="A26" s="67" t="s">
        <v>159</v>
      </c>
    </row>
    <row r="27" spans="1:7">
      <c r="A27" s="67" t="s">
        <v>176</v>
      </c>
    </row>
    <row r="28" spans="1:7">
      <c r="A28" s="67" t="s">
        <v>119</v>
      </c>
    </row>
    <row r="29" spans="1:7">
      <c r="A29" s="67" t="s">
        <v>183</v>
      </c>
    </row>
    <row r="30" spans="1:7">
      <c r="A30" s="6" t="s">
        <v>239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93D3-A8D8-AA43-9827-DD37CE3B8E0C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6240-6F33-4F3D-9991-31B5E943AA9B}">
  <dimension ref="A1:B161"/>
  <sheetViews>
    <sheetView topLeftCell="A48" workbookViewId="0">
      <selection activeCell="H62" sqref="H62"/>
    </sheetView>
  </sheetViews>
  <sheetFormatPr baseColWidth="10" defaultColWidth="8.83203125" defaultRowHeight="15"/>
  <cols>
    <col min="1" max="1" width="9.5" bestFit="1" customWidth="1"/>
  </cols>
  <sheetData>
    <row r="1" spans="1:2" ht="16" thickBot="1">
      <c r="A1" s="20" t="s">
        <v>271</v>
      </c>
      <c r="B1" s="20" t="s">
        <v>321</v>
      </c>
    </row>
    <row r="2" spans="1:2" ht="17" thickBot="1">
      <c r="A2" s="21" t="s">
        <v>86</v>
      </c>
      <c r="B2" s="22">
        <v>221.3</v>
      </c>
    </row>
    <row r="3" spans="1:2" ht="17" thickBot="1">
      <c r="A3" s="21" t="s">
        <v>149</v>
      </c>
      <c r="B3" s="22">
        <v>53.9</v>
      </c>
    </row>
    <row r="4" spans="1:2" ht="17" thickBot="1">
      <c r="A4" s="21" t="s">
        <v>71</v>
      </c>
      <c r="B4" s="22">
        <v>51.6</v>
      </c>
    </row>
    <row r="5" spans="1:2" ht="33" thickBot="1">
      <c r="A5" s="21" t="s">
        <v>11</v>
      </c>
      <c r="B5" s="22">
        <v>47.6</v>
      </c>
    </row>
    <row r="6" spans="1:2" ht="17" thickBot="1">
      <c r="A6" s="21" t="s">
        <v>117</v>
      </c>
      <c r="B6" s="22">
        <v>44.6</v>
      </c>
    </row>
    <row r="7" spans="1:2" ht="17" thickBot="1">
      <c r="A7" s="21" t="s">
        <v>50</v>
      </c>
      <c r="B7" s="22">
        <v>38.1</v>
      </c>
    </row>
    <row r="8" spans="1:2" ht="17" thickBot="1">
      <c r="A8" s="21" t="s">
        <v>37</v>
      </c>
      <c r="B8" s="22">
        <v>36.799999999999997</v>
      </c>
    </row>
    <row r="9" spans="1:2" ht="17" thickBot="1">
      <c r="A9" s="21" t="s">
        <v>90</v>
      </c>
      <c r="B9" s="22">
        <v>33.9</v>
      </c>
    </row>
    <row r="10" spans="1:2" ht="17" thickBot="1">
      <c r="A10" s="21" t="s">
        <v>56</v>
      </c>
      <c r="B10" s="22">
        <v>31.2</v>
      </c>
    </row>
    <row r="11" spans="1:2" ht="17" thickBot="1">
      <c r="A11" s="21" t="s">
        <v>30</v>
      </c>
      <c r="B11" s="22">
        <v>30.8</v>
      </c>
    </row>
    <row r="12" spans="1:2" ht="17" thickBot="1">
      <c r="A12" s="21" t="s">
        <v>19</v>
      </c>
      <c r="B12" s="22">
        <v>30.2</v>
      </c>
    </row>
    <row r="13" spans="1:2" ht="17" thickBot="1">
      <c r="A13" s="21" t="s">
        <v>23</v>
      </c>
      <c r="B13" s="22">
        <v>28.8</v>
      </c>
    </row>
    <row r="14" spans="1:2" ht="17" thickBot="1">
      <c r="A14" s="21" t="s">
        <v>8</v>
      </c>
      <c r="B14" s="22">
        <v>26.9</v>
      </c>
    </row>
    <row r="15" spans="1:2" ht="17" thickBot="1">
      <c r="A15" s="21" t="s">
        <v>33</v>
      </c>
      <c r="B15" s="22">
        <v>24.7</v>
      </c>
    </row>
    <row r="16" spans="1:2" ht="33" thickBot="1">
      <c r="A16" s="21" t="s">
        <v>288</v>
      </c>
      <c r="B16" s="22">
        <v>21.3</v>
      </c>
    </row>
    <row r="17" spans="1:2" ht="17" thickBot="1">
      <c r="A17" s="21" t="s">
        <v>34</v>
      </c>
      <c r="B17" s="22">
        <v>19.8</v>
      </c>
    </row>
    <row r="18" spans="1:2" ht="17" thickBot="1">
      <c r="A18" s="21" t="s">
        <v>148</v>
      </c>
      <c r="B18" s="22">
        <v>17.100000000000001</v>
      </c>
    </row>
    <row r="19" spans="1:2" ht="17" thickBot="1">
      <c r="A19" s="21" t="s">
        <v>21</v>
      </c>
      <c r="B19" s="22">
        <v>17</v>
      </c>
    </row>
    <row r="20" spans="1:2" ht="17" thickBot="1">
      <c r="A20" s="21" t="s">
        <v>116</v>
      </c>
      <c r="B20" s="22">
        <v>16.5</v>
      </c>
    </row>
    <row r="21" spans="1:2" ht="17" thickBot="1">
      <c r="A21" s="21" t="s">
        <v>128</v>
      </c>
      <c r="B21" s="22">
        <v>14.7</v>
      </c>
    </row>
    <row r="22" spans="1:2" ht="17" thickBot="1">
      <c r="A22" s="21" t="s">
        <v>45</v>
      </c>
      <c r="B22" s="22">
        <v>13.6</v>
      </c>
    </row>
    <row r="23" spans="1:2" ht="17" thickBot="1">
      <c r="A23" s="21" t="s">
        <v>109</v>
      </c>
      <c r="B23" s="22">
        <v>13.4</v>
      </c>
    </row>
    <row r="24" spans="1:2" ht="17" thickBot="1">
      <c r="A24" s="21" t="s">
        <v>124</v>
      </c>
      <c r="B24" s="22">
        <v>12.8</v>
      </c>
    </row>
    <row r="25" spans="1:2" ht="17" thickBot="1">
      <c r="A25" s="21" t="s">
        <v>95</v>
      </c>
      <c r="B25" s="22">
        <v>12.8</v>
      </c>
    </row>
    <row r="26" spans="1:2" ht="17" thickBot="1">
      <c r="A26" s="21" t="s">
        <v>130</v>
      </c>
      <c r="B26" s="22">
        <v>12.4</v>
      </c>
    </row>
    <row r="27" spans="1:2" ht="17" thickBot="1">
      <c r="A27" s="21" t="s">
        <v>104</v>
      </c>
      <c r="B27" s="22">
        <v>11.7</v>
      </c>
    </row>
    <row r="28" spans="1:2" ht="17" thickBot="1">
      <c r="A28" s="21" t="s">
        <v>159</v>
      </c>
      <c r="B28" s="22">
        <v>11.5</v>
      </c>
    </row>
    <row r="29" spans="1:2" ht="17" thickBot="1">
      <c r="A29" s="21" t="s">
        <v>42</v>
      </c>
      <c r="B29" s="22">
        <v>10.9</v>
      </c>
    </row>
    <row r="30" spans="1:2" ht="17" thickBot="1">
      <c r="A30" s="21" t="s">
        <v>6</v>
      </c>
      <c r="B30" s="22">
        <v>10.8</v>
      </c>
    </row>
    <row r="31" spans="1:2" ht="17" thickBot="1">
      <c r="A31" s="21" t="s">
        <v>78</v>
      </c>
      <c r="B31" s="22">
        <v>10.8</v>
      </c>
    </row>
    <row r="32" spans="1:2" ht="17" thickBot="1">
      <c r="A32" s="21" t="s">
        <v>248</v>
      </c>
      <c r="B32" s="22">
        <v>10.7</v>
      </c>
    </row>
    <row r="33" spans="1:2" ht="17" thickBot="1">
      <c r="A33" s="21" t="s">
        <v>150</v>
      </c>
      <c r="B33" s="22">
        <v>10.5</v>
      </c>
    </row>
    <row r="34" spans="1:2" ht="17" thickBot="1">
      <c r="A34" s="21" t="s">
        <v>142</v>
      </c>
      <c r="B34" s="22">
        <v>10.4</v>
      </c>
    </row>
    <row r="35" spans="1:2" ht="17" thickBot="1">
      <c r="A35" s="21" t="s">
        <v>99</v>
      </c>
      <c r="B35" s="22">
        <v>10.3</v>
      </c>
    </row>
    <row r="36" spans="1:2" ht="17" thickBot="1">
      <c r="A36" s="21" t="s">
        <v>18</v>
      </c>
      <c r="B36" s="22">
        <v>10.1</v>
      </c>
    </row>
    <row r="37" spans="1:2" ht="33" thickBot="1">
      <c r="A37" s="21" t="s">
        <v>66</v>
      </c>
      <c r="B37" s="22">
        <v>9.9</v>
      </c>
    </row>
    <row r="38" spans="1:2" ht="33" thickBot="1">
      <c r="A38" s="21" t="s">
        <v>17</v>
      </c>
      <c r="B38" s="22">
        <v>9.9</v>
      </c>
    </row>
    <row r="39" spans="1:2" ht="17" thickBot="1">
      <c r="A39" s="21" t="s">
        <v>133</v>
      </c>
      <c r="B39" s="22">
        <v>9.8000000000000007</v>
      </c>
    </row>
    <row r="40" spans="1:2" ht="17" thickBot="1">
      <c r="A40" s="21" t="s">
        <v>125</v>
      </c>
      <c r="B40" s="22">
        <v>9.4</v>
      </c>
    </row>
    <row r="41" spans="1:2" ht="33" thickBot="1">
      <c r="A41" s="21" t="s">
        <v>111</v>
      </c>
      <c r="B41" s="22">
        <v>9.4</v>
      </c>
    </row>
    <row r="42" spans="1:2" ht="17" thickBot="1">
      <c r="A42" s="21" t="s">
        <v>102</v>
      </c>
      <c r="B42" s="22">
        <v>9.3000000000000007</v>
      </c>
    </row>
    <row r="43" spans="1:2" ht="17" thickBot="1">
      <c r="A43" s="21" t="s">
        <v>58</v>
      </c>
      <c r="B43" s="22">
        <v>9.3000000000000007</v>
      </c>
    </row>
    <row r="44" spans="1:2" ht="17" thickBot="1">
      <c r="A44" s="21" t="s">
        <v>94</v>
      </c>
      <c r="B44" s="22">
        <v>9.3000000000000007</v>
      </c>
    </row>
    <row r="45" spans="1:2" ht="17" thickBot="1">
      <c r="A45" s="21" t="s">
        <v>164</v>
      </c>
      <c r="B45" s="22">
        <v>9.1999999999999993</v>
      </c>
    </row>
    <row r="46" spans="1:2" ht="17" thickBot="1">
      <c r="A46" s="21" t="s">
        <v>157</v>
      </c>
      <c r="B46" s="22">
        <v>9.1</v>
      </c>
    </row>
    <row r="47" spans="1:2" ht="17" thickBot="1">
      <c r="A47" s="21" t="s">
        <v>158</v>
      </c>
      <c r="B47" s="22">
        <v>8.9</v>
      </c>
    </row>
    <row r="48" spans="1:2" ht="17" thickBot="1">
      <c r="A48" s="21" t="s">
        <v>105</v>
      </c>
      <c r="B48" s="22">
        <v>8.8000000000000007</v>
      </c>
    </row>
    <row r="49" spans="1:2" ht="17" thickBot="1">
      <c r="A49" s="21" t="s">
        <v>192</v>
      </c>
      <c r="B49" s="22">
        <v>8.6999999999999993</v>
      </c>
    </row>
    <row r="50" spans="1:2" ht="33" thickBot="1">
      <c r="A50" s="21" t="s">
        <v>145</v>
      </c>
      <c r="B50" s="22">
        <v>8.6</v>
      </c>
    </row>
    <row r="51" spans="1:2" ht="17" thickBot="1">
      <c r="A51" s="21" t="s">
        <v>189</v>
      </c>
      <c r="B51" s="22">
        <v>8.5</v>
      </c>
    </row>
    <row r="52" spans="1:2" ht="17" thickBot="1">
      <c r="A52" s="21" t="s">
        <v>65</v>
      </c>
      <c r="B52" s="22">
        <v>8.4</v>
      </c>
    </row>
    <row r="53" spans="1:2" ht="17" thickBot="1">
      <c r="A53" s="21" t="s">
        <v>156</v>
      </c>
      <c r="B53" s="22">
        <v>7.9</v>
      </c>
    </row>
    <row r="54" spans="1:2" ht="17" thickBot="1">
      <c r="A54" s="21" t="s">
        <v>172</v>
      </c>
      <c r="B54" s="22">
        <v>7.8</v>
      </c>
    </row>
    <row r="55" spans="1:2" ht="17" thickBot="1">
      <c r="A55" s="21" t="s">
        <v>14</v>
      </c>
      <c r="B55" s="22">
        <v>7.8</v>
      </c>
    </row>
    <row r="56" spans="1:2" ht="17" thickBot="1">
      <c r="A56" s="21" t="s">
        <v>49</v>
      </c>
      <c r="B56" s="22">
        <v>7.7</v>
      </c>
    </row>
    <row r="57" spans="1:2" ht="17" thickBot="1">
      <c r="A57" s="21" t="s">
        <v>151</v>
      </c>
      <c r="B57" s="22">
        <v>7.6</v>
      </c>
    </row>
    <row r="58" spans="1:2" ht="17" thickBot="1">
      <c r="A58" s="21" t="s">
        <v>44</v>
      </c>
      <c r="B58" s="22">
        <v>7.4</v>
      </c>
    </row>
    <row r="59" spans="1:2" ht="17" thickBot="1">
      <c r="A59" s="21" t="s">
        <v>173</v>
      </c>
      <c r="B59" s="22">
        <v>7.4</v>
      </c>
    </row>
    <row r="60" spans="1:2" ht="17" thickBot="1">
      <c r="A60" s="21" t="s">
        <v>123</v>
      </c>
      <c r="B60" s="22">
        <v>7.1</v>
      </c>
    </row>
    <row r="61" spans="1:2" ht="33" thickBot="1">
      <c r="A61" s="21" t="s">
        <v>12</v>
      </c>
      <c r="B61" s="22">
        <v>7.1</v>
      </c>
    </row>
    <row r="62" spans="1:2" ht="17" thickBot="1">
      <c r="A62" s="21" t="s">
        <v>48</v>
      </c>
      <c r="B62" s="22">
        <v>7.1</v>
      </c>
    </row>
    <row r="63" spans="1:2" ht="33" thickBot="1">
      <c r="A63" s="21" t="s">
        <v>180</v>
      </c>
      <c r="B63" s="22">
        <v>6.8</v>
      </c>
    </row>
    <row r="64" spans="1:2" ht="17" thickBot="1">
      <c r="A64" s="21" t="s">
        <v>57</v>
      </c>
      <c r="B64" s="22">
        <v>6.7</v>
      </c>
    </row>
    <row r="65" spans="1:2" ht="17" thickBot="1">
      <c r="A65" s="21" t="s">
        <v>80</v>
      </c>
      <c r="B65" s="22">
        <v>6.5</v>
      </c>
    </row>
    <row r="66" spans="1:2" ht="17" thickBot="1">
      <c r="A66" s="21" t="s">
        <v>107</v>
      </c>
      <c r="B66" s="22">
        <v>6.5</v>
      </c>
    </row>
    <row r="67" spans="1:2" ht="17" thickBot="1">
      <c r="A67" s="21" t="s">
        <v>97</v>
      </c>
      <c r="B67" s="22">
        <v>6.4</v>
      </c>
    </row>
    <row r="68" spans="1:2" ht="17" thickBot="1">
      <c r="A68" s="21" t="s">
        <v>182</v>
      </c>
      <c r="B68" s="22">
        <v>6.3</v>
      </c>
    </row>
    <row r="69" spans="1:2" ht="17" thickBot="1">
      <c r="A69" s="21" t="s">
        <v>188</v>
      </c>
      <c r="B69" s="22">
        <v>6.3</v>
      </c>
    </row>
    <row r="70" spans="1:2" ht="17" thickBot="1">
      <c r="A70" s="21" t="s">
        <v>27</v>
      </c>
      <c r="B70" s="22">
        <v>6.3</v>
      </c>
    </row>
    <row r="71" spans="1:2" ht="33" thickBot="1">
      <c r="A71" s="21" t="s">
        <v>280</v>
      </c>
      <c r="B71" s="22">
        <v>6.1</v>
      </c>
    </row>
    <row r="72" spans="1:2" ht="17" thickBot="1">
      <c r="A72" s="21" t="s">
        <v>74</v>
      </c>
      <c r="B72" s="22">
        <v>6.1</v>
      </c>
    </row>
    <row r="73" spans="1:2" ht="33" thickBot="1">
      <c r="A73" s="21" t="s">
        <v>85</v>
      </c>
      <c r="B73" s="22">
        <v>6.1</v>
      </c>
    </row>
    <row r="74" spans="1:2" ht="17" thickBot="1">
      <c r="A74" s="21" t="s">
        <v>82</v>
      </c>
      <c r="B74" s="22">
        <v>6</v>
      </c>
    </row>
    <row r="75" spans="1:2" ht="17" thickBot="1">
      <c r="A75" s="21" t="s">
        <v>187</v>
      </c>
      <c r="B75" s="22">
        <v>5.9</v>
      </c>
    </row>
    <row r="76" spans="1:2" ht="17" thickBot="1">
      <c r="A76" s="21" t="s">
        <v>53</v>
      </c>
      <c r="B76" s="22">
        <v>5.9</v>
      </c>
    </row>
    <row r="77" spans="1:2" ht="17" thickBot="1">
      <c r="A77" s="21" t="s">
        <v>84</v>
      </c>
      <c r="B77" s="22">
        <v>5.9</v>
      </c>
    </row>
    <row r="78" spans="1:2" ht="17" thickBot="1">
      <c r="A78" s="21" t="s">
        <v>26</v>
      </c>
      <c r="B78" s="22">
        <v>5.9</v>
      </c>
    </row>
    <row r="79" spans="1:2" ht="33" thickBot="1">
      <c r="A79" s="21" t="s">
        <v>285</v>
      </c>
      <c r="B79" s="22">
        <v>5.9</v>
      </c>
    </row>
    <row r="80" spans="1:2" ht="17" thickBot="1">
      <c r="A80" s="21" t="s">
        <v>143</v>
      </c>
      <c r="B80" s="22">
        <v>5.9</v>
      </c>
    </row>
    <row r="81" spans="1:2" ht="33" thickBot="1">
      <c r="A81" s="21" t="s">
        <v>179</v>
      </c>
      <c r="B81" s="22">
        <v>5.7</v>
      </c>
    </row>
    <row r="82" spans="1:2" ht="17" thickBot="1">
      <c r="A82" s="21" t="s">
        <v>185</v>
      </c>
      <c r="B82" s="22">
        <v>5.6</v>
      </c>
    </row>
    <row r="83" spans="1:2" ht="17" thickBot="1">
      <c r="A83" s="21" t="s">
        <v>61</v>
      </c>
      <c r="B83" s="22">
        <v>5.6</v>
      </c>
    </row>
    <row r="84" spans="1:2" ht="17" thickBot="1">
      <c r="A84" s="21" t="s">
        <v>165</v>
      </c>
      <c r="B84" s="22">
        <v>5.6</v>
      </c>
    </row>
    <row r="85" spans="1:2" ht="17" thickBot="1">
      <c r="A85" s="21" t="s">
        <v>118</v>
      </c>
      <c r="B85" s="22">
        <v>5.5</v>
      </c>
    </row>
    <row r="86" spans="1:2" ht="17" thickBot="1">
      <c r="A86" s="21" t="s">
        <v>193</v>
      </c>
      <c r="B86" s="22">
        <v>5.5</v>
      </c>
    </row>
    <row r="87" spans="1:2" ht="17" thickBot="1">
      <c r="A87" s="21" t="s">
        <v>36</v>
      </c>
      <c r="B87" s="22">
        <v>5.4</v>
      </c>
    </row>
    <row r="88" spans="1:2" ht="17" thickBot="1">
      <c r="A88" s="21" t="s">
        <v>291</v>
      </c>
      <c r="B88" s="22">
        <v>5.0999999999999996</v>
      </c>
    </row>
    <row r="89" spans="1:2" ht="17" thickBot="1">
      <c r="A89" s="21" t="s">
        <v>81</v>
      </c>
      <c r="B89" s="22">
        <v>5.0999999999999996</v>
      </c>
    </row>
    <row r="90" spans="1:2" ht="17" thickBot="1">
      <c r="A90" s="21" t="s">
        <v>169</v>
      </c>
      <c r="B90" s="22">
        <v>5.0999999999999996</v>
      </c>
    </row>
    <row r="91" spans="1:2" ht="17" thickBot="1">
      <c r="A91" s="21" t="s">
        <v>126</v>
      </c>
      <c r="B91" s="22">
        <v>5</v>
      </c>
    </row>
    <row r="92" spans="1:2" ht="17" thickBot="1">
      <c r="A92" s="21" t="s">
        <v>31</v>
      </c>
      <c r="B92" s="22">
        <v>5</v>
      </c>
    </row>
    <row r="93" spans="1:2" ht="17" thickBot="1">
      <c r="A93" s="21" t="s">
        <v>167</v>
      </c>
      <c r="B93" s="22">
        <v>4.9000000000000004</v>
      </c>
    </row>
    <row r="94" spans="1:2" ht="17" thickBot="1">
      <c r="A94" s="21" t="s">
        <v>121</v>
      </c>
      <c r="B94" s="22">
        <v>4.8</v>
      </c>
    </row>
    <row r="95" spans="1:2" ht="33" thickBot="1">
      <c r="A95" s="21" t="s">
        <v>275</v>
      </c>
      <c r="B95" s="22">
        <v>4.8</v>
      </c>
    </row>
    <row r="96" spans="1:2" ht="17" thickBot="1">
      <c r="A96" s="21" t="s">
        <v>186</v>
      </c>
      <c r="B96" s="22">
        <v>4.8</v>
      </c>
    </row>
    <row r="97" spans="1:2" ht="17" thickBot="1">
      <c r="A97" s="21" t="s">
        <v>106</v>
      </c>
      <c r="B97" s="22">
        <v>4.5999999999999996</v>
      </c>
    </row>
    <row r="98" spans="1:2" ht="17" thickBot="1">
      <c r="A98" s="21" t="s">
        <v>92</v>
      </c>
      <c r="B98" s="22">
        <v>4.5999999999999996</v>
      </c>
    </row>
    <row r="99" spans="1:2" ht="33" thickBot="1">
      <c r="A99" s="21" t="s">
        <v>290</v>
      </c>
      <c r="B99" s="22">
        <v>4.5999999999999996</v>
      </c>
    </row>
    <row r="100" spans="1:2" ht="17" thickBot="1">
      <c r="A100" s="21" t="s">
        <v>283</v>
      </c>
      <c r="B100" s="22">
        <v>4.5999999999999996</v>
      </c>
    </row>
    <row r="101" spans="1:2" ht="17" thickBot="1">
      <c r="A101" s="21" t="s">
        <v>77</v>
      </c>
      <c r="B101" s="22">
        <v>4.4000000000000004</v>
      </c>
    </row>
    <row r="102" spans="1:2" ht="17" thickBot="1">
      <c r="A102" s="21" t="s">
        <v>67</v>
      </c>
      <c r="B102" s="22">
        <v>4.4000000000000004</v>
      </c>
    </row>
    <row r="103" spans="1:2" ht="17" thickBot="1">
      <c r="A103" s="21" t="s">
        <v>29</v>
      </c>
      <c r="B103" s="22">
        <v>4.4000000000000004</v>
      </c>
    </row>
    <row r="104" spans="1:2" ht="17" thickBot="1">
      <c r="A104" s="21" t="s">
        <v>153</v>
      </c>
      <c r="B104" s="22">
        <v>4.3</v>
      </c>
    </row>
    <row r="105" spans="1:2" ht="33" thickBot="1">
      <c r="A105" s="21" t="s">
        <v>278</v>
      </c>
      <c r="B105" s="22">
        <v>4.3</v>
      </c>
    </row>
    <row r="106" spans="1:2" ht="17" thickBot="1">
      <c r="A106" s="21" t="s">
        <v>70</v>
      </c>
      <c r="B106" s="22">
        <v>4.2</v>
      </c>
    </row>
    <row r="107" spans="1:2" ht="17" thickBot="1">
      <c r="A107" s="21" t="s">
        <v>98</v>
      </c>
      <c r="B107" s="22">
        <v>4.2</v>
      </c>
    </row>
    <row r="108" spans="1:2" ht="17" thickBot="1">
      <c r="A108" s="21" t="s">
        <v>170</v>
      </c>
      <c r="B108" s="22">
        <v>4.2</v>
      </c>
    </row>
    <row r="109" spans="1:2" ht="17" thickBot="1">
      <c r="A109" s="21" t="s">
        <v>87</v>
      </c>
      <c r="B109" s="22">
        <v>4.0999999999999996</v>
      </c>
    </row>
    <row r="110" spans="1:2" ht="33" thickBot="1">
      <c r="A110" s="21" t="s">
        <v>175</v>
      </c>
      <c r="B110" s="22">
        <v>4.0999999999999996</v>
      </c>
    </row>
    <row r="111" spans="1:2" ht="17" thickBot="1">
      <c r="A111" s="21" t="s">
        <v>183</v>
      </c>
      <c r="B111" s="22">
        <v>4</v>
      </c>
    </row>
    <row r="112" spans="1:2" ht="17" thickBot="1">
      <c r="A112" s="21" t="s">
        <v>68</v>
      </c>
      <c r="B112" s="22">
        <v>4</v>
      </c>
    </row>
    <row r="113" spans="1:2" ht="17" thickBot="1">
      <c r="A113" s="21" t="s">
        <v>177</v>
      </c>
      <c r="B113" s="22">
        <v>3.9</v>
      </c>
    </row>
    <row r="114" spans="1:2" ht="33" thickBot="1">
      <c r="A114" s="21" t="s">
        <v>184</v>
      </c>
      <c r="B114" s="22">
        <v>3.8</v>
      </c>
    </row>
    <row r="115" spans="1:2" ht="17" thickBot="1">
      <c r="A115" s="21" t="s">
        <v>28</v>
      </c>
      <c r="B115" s="22">
        <v>3.8</v>
      </c>
    </row>
    <row r="116" spans="1:2" ht="17" thickBot="1">
      <c r="A116" s="21" t="s">
        <v>64</v>
      </c>
      <c r="B116" s="22">
        <v>3.7</v>
      </c>
    </row>
    <row r="117" spans="1:2" ht="17" thickBot="1">
      <c r="A117" s="21" t="s">
        <v>83</v>
      </c>
      <c r="B117" s="22">
        <v>3.7</v>
      </c>
    </row>
    <row r="118" spans="1:2" ht="33" thickBot="1">
      <c r="A118" s="21" t="s">
        <v>174</v>
      </c>
      <c r="B118" s="22">
        <v>3.7</v>
      </c>
    </row>
    <row r="119" spans="1:2" ht="17" thickBot="1">
      <c r="A119" s="21" t="s">
        <v>5</v>
      </c>
      <c r="B119" s="22">
        <v>3.7</v>
      </c>
    </row>
    <row r="120" spans="1:2" ht="17" thickBot="1">
      <c r="A120" s="21" t="s">
        <v>72</v>
      </c>
      <c r="B120" s="22">
        <v>3.6</v>
      </c>
    </row>
    <row r="121" spans="1:2" ht="17" thickBot="1">
      <c r="A121" s="21" t="s">
        <v>146</v>
      </c>
      <c r="B121" s="22">
        <v>3.6</v>
      </c>
    </row>
    <row r="122" spans="1:2" ht="33" thickBot="1">
      <c r="A122" s="21" t="s">
        <v>176</v>
      </c>
      <c r="B122" s="22">
        <v>3.6</v>
      </c>
    </row>
    <row r="123" spans="1:2" ht="17" thickBot="1">
      <c r="A123" s="21" t="s">
        <v>166</v>
      </c>
      <c r="B123" s="22">
        <v>3.5</v>
      </c>
    </row>
    <row r="124" spans="1:2" ht="17" thickBot="1">
      <c r="A124" s="21" t="s">
        <v>162</v>
      </c>
      <c r="B124" s="22">
        <v>3.5</v>
      </c>
    </row>
    <row r="125" spans="1:2" ht="17" thickBot="1">
      <c r="A125" s="21" t="s">
        <v>168</v>
      </c>
      <c r="B125" s="22">
        <v>3.5</v>
      </c>
    </row>
    <row r="126" spans="1:2" ht="17" thickBot="1">
      <c r="A126" s="21" t="s">
        <v>190</v>
      </c>
      <c r="B126" s="22">
        <v>3.3</v>
      </c>
    </row>
    <row r="127" spans="1:2" ht="17" thickBot="1">
      <c r="A127" s="21" t="s">
        <v>171</v>
      </c>
      <c r="B127" s="22">
        <v>3.3</v>
      </c>
    </row>
    <row r="128" spans="1:2" ht="17" thickBot="1">
      <c r="A128" s="21" t="s">
        <v>88</v>
      </c>
      <c r="B128" s="22">
        <v>3.3</v>
      </c>
    </row>
    <row r="129" spans="1:2" ht="17" thickBot="1">
      <c r="A129" s="21" t="s">
        <v>138</v>
      </c>
      <c r="B129" s="22">
        <v>3.1</v>
      </c>
    </row>
    <row r="130" spans="1:2" ht="33" thickBot="1">
      <c r="A130" s="21" t="s">
        <v>279</v>
      </c>
      <c r="B130" s="22">
        <v>3</v>
      </c>
    </row>
    <row r="131" spans="1:2" ht="17" thickBot="1">
      <c r="A131" s="21" t="s">
        <v>154</v>
      </c>
      <c r="B131" s="22">
        <v>3</v>
      </c>
    </row>
    <row r="132" spans="1:2" ht="17" thickBot="1">
      <c r="A132" s="21" t="s">
        <v>108</v>
      </c>
      <c r="B132" s="22">
        <v>2.9</v>
      </c>
    </row>
    <row r="133" spans="1:2" ht="17" thickBot="1">
      <c r="A133" s="21" t="s">
        <v>100</v>
      </c>
      <c r="B133" s="22">
        <v>2.8</v>
      </c>
    </row>
    <row r="134" spans="1:2" ht="17" thickBot="1">
      <c r="A134" s="21" t="s">
        <v>22</v>
      </c>
      <c r="B134" s="22">
        <v>2.7</v>
      </c>
    </row>
    <row r="135" spans="1:2" ht="17" thickBot="1">
      <c r="A135" s="21" t="s">
        <v>122</v>
      </c>
      <c r="B135" s="22">
        <v>2.7</v>
      </c>
    </row>
    <row r="136" spans="1:2" ht="17" thickBot="1">
      <c r="A136" s="21" t="s">
        <v>75</v>
      </c>
      <c r="B136" s="22">
        <v>2.6</v>
      </c>
    </row>
    <row r="137" spans="1:2" ht="17" thickBot="1">
      <c r="A137" s="21" t="s">
        <v>134</v>
      </c>
      <c r="B137" s="22">
        <v>2.5</v>
      </c>
    </row>
    <row r="138" spans="1:2" ht="17" thickBot="1">
      <c r="A138" s="21" t="s">
        <v>132</v>
      </c>
      <c r="B138" s="22">
        <v>2.5</v>
      </c>
    </row>
    <row r="139" spans="1:2" ht="17" thickBot="1">
      <c r="A139" s="21" t="s">
        <v>103</v>
      </c>
      <c r="B139" s="22">
        <v>2.4</v>
      </c>
    </row>
    <row r="140" spans="1:2" ht="17" thickBot="1">
      <c r="A140" s="21" t="s">
        <v>276</v>
      </c>
      <c r="B140" s="22">
        <v>2.2999999999999998</v>
      </c>
    </row>
    <row r="141" spans="1:2" ht="33" thickBot="1">
      <c r="A141" s="21" t="s">
        <v>155</v>
      </c>
      <c r="B141" s="22">
        <v>2.2999999999999998</v>
      </c>
    </row>
    <row r="142" spans="1:2" ht="17" thickBot="1">
      <c r="A142" s="21" t="s">
        <v>112</v>
      </c>
      <c r="B142" s="22">
        <v>2.2000000000000002</v>
      </c>
    </row>
    <row r="143" spans="1:2" ht="17" thickBot="1">
      <c r="A143" s="21" t="s">
        <v>47</v>
      </c>
      <c r="B143" s="22">
        <v>2.1</v>
      </c>
    </row>
    <row r="144" spans="1:2" ht="17" thickBot="1">
      <c r="A144" s="21" t="s">
        <v>91</v>
      </c>
      <c r="B144" s="22">
        <v>2.1</v>
      </c>
    </row>
    <row r="145" spans="1:2" ht="17" thickBot="1">
      <c r="A145" s="21" t="s">
        <v>191</v>
      </c>
      <c r="B145" s="22">
        <v>2.1</v>
      </c>
    </row>
    <row r="146" spans="1:2" ht="17" thickBot="1">
      <c r="A146" s="21" t="s">
        <v>96</v>
      </c>
      <c r="B146" s="22">
        <v>2.1</v>
      </c>
    </row>
    <row r="147" spans="1:2" ht="17" thickBot="1">
      <c r="A147" s="21" t="s">
        <v>7</v>
      </c>
      <c r="B147" s="22">
        <v>2.1</v>
      </c>
    </row>
    <row r="148" spans="1:2" ht="17" thickBot="1">
      <c r="A148" s="21" t="s">
        <v>194</v>
      </c>
      <c r="B148" s="22">
        <v>2.1</v>
      </c>
    </row>
    <row r="149" spans="1:2" ht="17" thickBot="1">
      <c r="A149" s="21" t="s">
        <v>119</v>
      </c>
      <c r="B149" s="22">
        <v>2</v>
      </c>
    </row>
    <row r="150" spans="1:2" ht="33" thickBot="1">
      <c r="A150" s="21" t="s">
        <v>277</v>
      </c>
      <c r="B150" s="22">
        <v>1.6</v>
      </c>
    </row>
    <row r="151" spans="1:2" ht="17" thickBot="1">
      <c r="A151" s="21" t="s">
        <v>24</v>
      </c>
      <c r="B151" s="22">
        <v>1.5</v>
      </c>
    </row>
    <row r="152" spans="1:2" ht="17" thickBot="1">
      <c r="A152" s="21" t="s">
        <v>137</v>
      </c>
      <c r="B152" s="22">
        <v>1.5</v>
      </c>
    </row>
    <row r="153" spans="1:2" ht="17" thickBot="1">
      <c r="A153" s="21" t="s">
        <v>129</v>
      </c>
      <c r="B153" s="22">
        <v>1.2</v>
      </c>
    </row>
    <row r="154" spans="1:2" ht="17" thickBot="1">
      <c r="A154" s="21" t="s">
        <v>136</v>
      </c>
      <c r="B154" s="22">
        <v>1</v>
      </c>
    </row>
    <row r="155" spans="1:2" ht="33" thickBot="1">
      <c r="A155" s="21" t="s">
        <v>10</v>
      </c>
      <c r="B155" s="22">
        <v>0.7</v>
      </c>
    </row>
    <row r="156" spans="1:2" ht="17" thickBot="1">
      <c r="A156" s="21" t="s">
        <v>131</v>
      </c>
      <c r="B156" s="22">
        <v>0.5</v>
      </c>
    </row>
    <row r="157" spans="1:2" ht="17" thickBot="1">
      <c r="A157" s="21" t="s">
        <v>286</v>
      </c>
      <c r="B157" s="22">
        <v>0.5</v>
      </c>
    </row>
    <row r="158" spans="1:2" ht="17" thickBot="1">
      <c r="A158" s="21" t="s">
        <v>140</v>
      </c>
      <c r="B158" s="22">
        <v>0.4</v>
      </c>
    </row>
    <row r="159" spans="1:2" ht="17" thickBot="1">
      <c r="A159" s="21" t="s">
        <v>120</v>
      </c>
      <c r="B159" s="22">
        <v>0.2</v>
      </c>
    </row>
    <row r="160" spans="1:2" ht="17" thickBot="1">
      <c r="A160" s="21" t="s">
        <v>161</v>
      </c>
      <c r="B160" s="22">
        <v>0.1</v>
      </c>
    </row>
    <row r="161" spans="1:2" ht="17" thickBot="1">
      <c r="A161" s="21" t="s">
        <v>127</v>
      </c>
      <c r="B161" s="22">
        <v>-1</v>
      </c>
    </row>
  </sheetData>
  <hyperlinks>
    <hyperlink ref="A2" r:id="rId1" display="https://www.theglobaleconomy.com/Lebanon/Inflation/" xr:uid="{4D0F49D4-CB91-474B-B45E-57F6E35430D0}"/>
    <hyperlink ref="A3" r:id="rId2" display="https://www.theglobaleconomy.com/Turkey/Inflation/" xr:uid="{F465FF2C-CA37-4C44-A571-BC5737899028}"/>
    <hyperlink ref="A4" r:id="rId3" display="https://www.theglobaleconomy.com/Suriname/Inflation/" xr:uid="{6B711306-299C-4398-B1C0-23E6506FD9EF}"/>
    <hyperlink ref="A5" r:id="rId4" display="https://www.theglobaleconomy.com/Sierra-Leone/Inflation/" xr:uid="{CC46E4BE-DD7D-4782-95A8-7D98E61C0AE4}"/>
    <hyperlink ref="A6" r:id="rId5" display="https://www.theglobaleconomy.com/Iran/Inflation/" xr:uid="{81AEA448-9426-475F-A16E-66CD66324071}"/>
    <hyperlink ref="A7" r:id="rId6" display="https://www.theglobaleconomy.com/Ghana/Inflation/" xr:uid="{8DE15874-6A7E-4EE1-A065-F06C2888D501}"/>
    <hyperlink ref="A8" r:id="rId7" display="https://www.theglobaleconomy.com/Haiti/Inflation/" xr:uid="{9E8D3EEC-035F-483B-9DA5-275C641FD2B7}"/>
    <hyperlink ref="A9" r:id="rId8" display="https://www.theglobaleconomy.com/Egypt/Inflation/" xr:uid="{516BCA15-0B66-4725-BE7D-18EDFCBD3BE6}"/>
    <hyperlink ref="A10" r:id="rId9" display="https://www.theglobaleconomy.com/Laos/Inflation/" xr:uid="{C32493D0-6B2F-47EA-B9F0-36B08E425B40}"/>
    <hyperlink ref="A11" r:id="rId10" display="https://www.theglobaleconomy.com/Pakistan/Inflation/" xr:uid="{50C07440-DF08-469B-9F06-9241028171E6}"/>
    <hyperlink ref="A12" r:id="rId11" display="https://www.theglobaleconomy.com/Ethiopia/Inflation/" xr:uid="{AD7A5231-E1A7-48CD-B05F-19F06E2510A2}"/>
    <hyperlink ref="A13" r:id="rId12" display="https://www.theglobaleconomy.com/Malawi/Inflation/" xr:uid="{8AC65D07-8BA2-40FB-9289-35AEC7FD8868}"/>
    <hyperlink ref="A14" r:id="rId13" display="https://www.theglobaleconomy.com/Burundi/Inflation/" xr:uid="{F03F77BA-5967-4D52-9132-1F30C3787FAB}"/>
    <hyperlink ref="A15" r:id="rId14" display="https://www.theglobaleconomy.com/Nigeria/Inflation/" xr:uid="{58F1256D-D817-4CB5-B2C9-A176D9FE6699}"/>
    <hyperlink ref="A16" r:id="rId15" display="https://www.theglobaleconomy.com/Sao-Tome-and-Principe/Inflation/" xr:uid="{B8D4AC22-E38E-4DE4-89B6-FD27AD5B2CB3}"/>
    <hyperlink ref="A17" r:id="rId16" display="https://www.theglobaleconomy.com/Rwanda/Inflation/" xr:uid="{DA3535BC-FC0C-4977-AAF9-836B1D399D7A}"/>
    <hyperlink ref="A18" r:id="rId17" display="https://www.theglobaleconomy.com/Hungary/Inflation/" xr:uid="{AA4D0266-16E3-4AD8-9EFF-FC08E75D278C}"/>
    <hyperlink ref="A19" r:id="rId18" display="https://www.theglobaleconomy.com/Gambia/Inflation/" xr:uid="{BE1A5CA6-5C10-4A56-8175-3CCB7CB51BC4}"/>
    <hyperlink ref="A20" r:id="rId19" display="https://www.theglobaleconomy.com/Sri-Lanka/Inflation/" xr:uid="{2B858049-7951-47C2-BF7B-FD4332715A58}"/>
    <hyperlink ref="A21" r:id="rId20" display="https://www.theglobaleconomy.com/Kazakhstan/Inflation/" xr:uid="{68385890-AA31-4B70-B697-9108FF16328A}"/>
    <hyperlink ref="A22" r:id="rId21" display="https://www.theglobaleconomy.com/Angola/Inflation/" xr:uid="{69CDC5DA-2BF5-4010-9733-7D3DE780AF5D}"/>
    <hyperlink ref="A23" r:id="rId22" display="https://www.theglobaleconomy.com/Moldova/Inflation/" xr:uid="{D870C0C4-BC56-45C3-8010-281F5E48CFD8}"/>
    <hyperlink ref="A24" r:id="rId23" display="https://www.theglobaleconomy.com/Palau/Inflation/" xr:uid="{7B786DC6-3400-44C9-8E5D-82E71FAC73F7}"/>
    <hyperlink ref="A25" r:id="rId24" display="https://www.theglobaleconomy.com/Ukraine/Inflation/" xr:uid="{C5E11C55-DE0B-4FC3-ABEA-795D39B90BDE}"/>
    <hyperlink ref="A26" r:id="rId25" display="https://www.theglobaleconomy.com/Serbia/Inflation/" xr:uid="{403BFEDE-346D-444B-81D3-9EBCB5CF08BC}"/>
    <hyperlink ref="A27" r:id="rId26" display="https://www.theglobaleconomy.com/Colombia/Inflation/" xr:uid="{4668E570-43B7-4882-AFA8-BE9AFF7C4AA3}"/>
    <hyperlink ref="A28" r:id="rId27" display="https://www.theglobaleconomy.com/Poland/Inflation/" xr:uid="{512622AF-A661-4DBE-A462-1C4590C634CB}"/>
    <hyperlink ref="A29" r:id="rId28" display="https://www.theglobaleconomy.com/Zambia/Inflation/" xr:uid="{8900BB8D-0683-4B1B-AAB1-DC1428871588}"/>
    <hyperlink ref="A30" r:id="rId29" display="https://www.theglobaleconomy.com/Chad/Inflation/" xr:uid="{84AE52F9-3E8D-42EB-B287-13C3E234CAC6}"/>
    <hyperlink ref="A31" r:id="rId30" display="https://www.theglobaleconomy.com/Kyrgyzstan/Inflation/" xr:uid="{0F75A503-5C5F-4D9E-8B46-A5D6F5D23CBC}"/>
    <hyperlink ref="A32" r:id="rId31" display="https://www.theglobaleconomy.com/Czech-Republic/Inflation/" xr:uid="{8CE06101-C26A-4AA5-81BB-16D9737D5CA6}"/>
    <hyperlink ref="A33" r:id="rId32" display="https://www.theglobaleconomy.com/Slovakia/Inflation/" xr:uid="{2FB3A07F-D722-469D-9038-BF04DD5EF98B}"/>
    <hyperlink ref="A34" r:id="rId33" display="https://www.theglobaleconomy.com/Romania/Inflation/" xr:uid="{EBA0D894-55CC-4417-96E1-64F7EED37318}"/>
    <hyperlink ref="A35" r:id="rId34" display="https://www.theglobaleconomy.com/Mongolia/Inflation/" xr:uid="{2DCC0BAB-9991-4667-9252-3707603ECCF6}"/>
    <hyperlink ref="A36" r:id="rId35" display="https://www.theglobaleconomy.com/Liberia/Inflation/" xr:uid="{19F1FA1E-BA9B-4C64-9CAF-0B2EC11824A8}"/>
    <hyperlink ref="A37" r:id="rId36" display="https://www.theglobaleconomy.com/Bangladesh/Inflation/" xr:uid="{997C444F-CF68-45AA-8DC1-B2F9BFF88BBC}"/>
    <hyperlink ref="A38" r:id="rId37" display="https://www.theglobaleconomy.com/Madagascar/Inflation/" xr:uid="{D3AFD1C8-50ED-49F3-BFC3-F3638BE96333}"/>
    <hyperlink ref="A39" r:id="rId38" display="https://www.theglobaleconomy.com/Barbados/Inflation/" xr:uid="{6A0DBF54-E41C-492F-90C3-CB4ECFF9E224}"/>
    <hyperlink ref="A40" r:id="rId39" display="https://www.theglobaleconomy.com/Bulgaria/Inflation/" xr:uid="{4640DC28-C0E9-45D0-8786-C7B3C7E4E5CA}"/>
    <hyperlink ref="A41" r:id="rId40" display="https://www.theglobaleconomy.com/Macedonia/Inflation/" xr:uid="{4D1529DB-EFEB-4F1C-8EDD-EB476997F5B9}"/>
    <hyperlink ref="A42" r:id="rId41" display="https://www.theglobaleconomy.com/Algeria/Inflation/" xr:uid="{5149A107-4F29-487E-A10C-E66AB53138E5}"/>
    <hyperlink ref="A43" r:id="rId42" display="https://www.theglobaleconomy.com/Kiribati/Inflation/" xr:uid="{26908FDA-3217-4477-9629-D185CD8FA0C5}"/>
    <hyperlink ref="A44" r:id="rId43" display="https://www.theglobaleconomy.com/Tunisia/Inflation/" xr:uid="{13806227-6AF2-4A7F-8C6E-F92DBA13B948}"/>
    <hyperlink ref="A45" r:id="rId44" display="https://www.theglobaleconomy.com/Estonia/Inflation/" xr:uid="{417CFB93-42AB-488D-80E5-5BB1266AB767}"/>
    <hyperlink ref="A46" r:id="rId45" display="https://www.theglobaleconomy.com/Lithuania/Inflation/" xr:uid="{650C6C08-DF7F-4DCA-B327-28032EE12FAB}"/>
    <hyperlink ref="A47" r:id="rId46" display="https://www.theglobaleconomy.com/Latvia/Inflation/" xr:uid="{4C252773-D58E-4F53-8C0A-1B7E0930A903}"/>
    <hyperlink ref="A48" r:id="rId47" display="https://www.theglobaleconomy.com/Azerbaijan/Inflation/" xr:uid="{4D911742-75A8-4DE0-9FA6-4BF7347AAD50}"/>
    <hyperlink ref="A49" r:id="rId48" display="https://www.theglobaleconomy.com/Iceland/Inflation/" xr:uid="{74DE510C-BD56-4CE7-A511-97B7BB4BBF7B}"/>
    <hyperlink ref="A50" r:id="rId49" display="https://www.theglobaleconomy.com/Montenegro/Inflation/" xr:uid="{89370170-5D5C-4885-AD99-8391F06A1C16}"/>
    <hyperlink ref="A51" r:id="rId50" display="https://www.theglobaleconomy.com/Sweden/Inflation/" xr:uid="{74A7D06A-8F12-4301-A882-D92B4B9AF9BE}"/>
    <hyperlink ref="A52" r:id="rId51" display="https://www.theglobaleconomy.com/Nicaragua/Inflation/" xr:uid="{8DCBF0E5-2072-429F-82A0-57002A6F7EA4}"/>
    <hyperlink ref="A53" r:id="rId52" display="https://www.theglobaleconomy.com/Croatia/Inflation/" xr:uid="{A6C24BE4-76EA-43C4-867E-B829D8B9DBD8}"/>
    <hyperlink ref="A54" r:id="rId53" display="https://www.theglobaleconomy.com/Austria/Inflation/" xr:uid="{FCBD2A4D-CE61-4E91-A0A4-F9CA6C09B8E8}"/>
    <hyperlink ref="A55" r:id="rId54" display="https://www.theglobaleconomy.com/Guinea/Inflation/" xr:uid="{D78FC2E1-831B-4230-901B-CD695206612E}"/>
    <hyperlink ref="A56" r:id="rId55" display="https://www.theglobaleconomy.com/Kenya/Inflation/" xr:uid="{DD73109F-FC60-4A1A-AF95-9E34C1C313CD}"/>
    <hyperlink ref="A57" r:id="rId56" display="https://www.theglobaleconomy.com/Chile/Inflation/" xr:uid="{0962F14D-E27A-4B28-8883-CFC75CD09BA5}"/>
    <hyperlink ref="A58" r:id="rId57" display="https://www.theglobaleconomy.com/Cameroon/Inflation/" xr:uid="{8F3176FF-A8B4-4019-B628-F48AC426D18E}"/>
    <hyperlink ref="A59" r:id="rId58" display="https://www.theglobaleconomy.com/Slovenia/Inflation/" xr:uid="{051AD370-46DD-4DF6-887F-AF375C59E559}"/>
    <hyperlink ref="A60" r:id="rId59" display="https://www.theglobaleconomy.com/Mauritius/Inflation/" xr:uid="{770F4EA5-5AEB-49F3-BCBB-61C5A1E26948}"/>
    <hyperlink ref="A61" r:id="rId60" display="https://www.theglobaleconomy.com/Mozambique/Inflation/" xr:uid="{F3D58A9F-C997-4489-AD64-B436CD0E3B48}"/>
    <hyperlink ref="A62" r:id="rId61" display="https://www.theglobaleconomy.com/Nepal/Inflation/" xr:uid="{8D2837E7-D94B-4F8E-B95C-68531CF9827E}"/>
    <hyperlink ref="A64" r:id="rId62" display="https://www.theglobaleconomy.com/Honduras/Inflation/" xr:uid="{F542356A-744D-47AC-89B6-7A2175441E3F}"/>
    <hyperlink ref="A65" r:id="rId63" display="https://www.theglobaleconomy.com/Jamaica/Inflation/" xr:uid="{FF151F03-C65C-4FBD-9095-505CFBA6CA9F}"/>
    <hyperlink ref="A66" r:id="rId64" display="https://www.theglobaleconomy.com/Peru/Inflation/" xr:uid="{27F19F5E-97D4-4903-BEAB-F8E61082AAB9}"/>
    <hyperlink ref="A67" r:id="rId65" display="https://www.theglobaleconomy.com/Tonga/Inflation/" xr:uid="{1B9D59D9-63D6-46BB-BAB9-397383BA3482}"/>
    <hyperlink ref="A68" r:id="rId66" display="https://www.theglobaleconomy.com/Finland/Inflation/" xr:uid="{21C5F3F3-9BCC-4551-AC28-75DE9ED2CEE9}"/>
    <hyperlink ref="A69" r:id="rId67" display="https://www.theglobaleconomy.com/Ireland/Inflation/" xr:uid="{C0F7AC67-7108-43CD-B85F-8C91DCD1B2C7}"/>
    <hyperlink ref="A70" r:id="rId68" display="https://www.theglobaleconomy.com/Lesotho/Inflation/" xr:uid="{F745E203-C4B5-4646-86BF-56DEC4A89366}"/>
    <hyperlink ref="A71" r:id="rId69" display="https://www.theglobaleconomy.com/Bosnia-and-Herzegovina/Inflation/" xr:uid="{B06E49C6-A450-4FC5-A963-AD24185DB631}"/>
    <hyperlink ref="A72" r:id="rId70" display="https://www.theglobaleconomy.com/Morocco/Inflation/" xr:uid="{B586D015-C93A-4E33-A7CF-212C144576A9}"/>
    <hyperlink ref="A73" r:id="rId71" display="https://www.theglobaleconomy.com/South-Africa/Inflation/" xr:uid="{4596D6A7-CDF6-4C18-A9A1-7576C8BC9CDB}"/>
    <hyperlink ref="A74" r:id="rId72" display="https://www.theglobaleconomy.com/Philippines/Inflation/" xr:uid="{516E256C-C843-481F-A049-5695F1255E89}"/>
    <hyperlink ref="A75" r:id="rId73" display="https://www.theglobaleconomy.com/Germany/Inflation/" xr:uid="{9472232D-CB08-4A35-8B86-CB1E8915820A}"/>
    <hyperlink ref="A76" r:id="rId74" display="https://www.theglobaleconomy.com/Namibia/Inflation/" xr:uid="{E0BAB93E-0CB9-49ED-AC86-086D841A740E}"/>
    <hyperlink ref="A77" r:id="rId75" display="https://www.theglobaleconomy.com/Palestine/Inflation/" xr:uid="{D409C6E3-2D5D-4020-83A6-A51A2F490880}"/>
    <hyperlink ref="A78" r:id="rId76" display="https://www.theglobaleconomy.com/Senegal/Inflation/" xr:uid="{AB65EE42-15B9-48B7-8A7B-50CE20AE673A}"/>
    <hyperlink ref="A79" r:id="rId77" display="https://www.theglobaleconomy.com/Solomon-Islands/Inflation/" xr:uid="{45D13347-9758-40ED-BA8D-11440A1BDF2B}"/>
    <hyperlink ref="A80" r:id="rId78" display="https://www.theglobaleconomy.com/Uruguay/Inflation/" xr:uid="{16FC1895-D8BF-4CF9-9EDA-0D179C1959E1}"/>
    <hyperlink ref="A81" r:id="rId79" display="https://www.theglobaleconomy.com/New-Zealand/Inflation/" xr:uid="{F2209FF1-D6A3-41E7-A34E-530DFA085BFE}"/>
    <hyperlink ref="A82" r:id="rId80" display="https://www.theglobaleconomy.com/Australia/Inflation/" xr:uid="{39D12229-0191-4E70-A7B7-DBB4DBE9B172}"/>
    <hyperlink ref="A83" r:id="rId81" display="https://www.theglobaleconomy.com/India/Inflation/" xr:uid="{36AAAD76-4F19-4753-832F-03969227C96B}"/>
    <hyperlink ref="A84" r:id="rId82" display="https://www.theglobaleconomy.com/Italy/Inflation/" xr:uid="{26E1D2B0-8647-4C88-8558-AF4333B44B03}"/>
    <hyperlink ref="A85" r:id="rId83" display="https://www.theglobaleconomy.com/Mexico/Inflation/" xr:uid="{6AB04D02-9E57-439B-9860-544C67CB7B0E}"/>
    <hyperlink ref="A86" r:id="rId84" display="https://www.theglobaleconomy.com/Norway/Inflation/" xr:uid="{2D8ACB1F-539E-48EC-85B1-DE439D55F617}"/>
    <hyperlink ref="A87" r:id="rId85" display="https://www.theglobaleconomy.com/Uganda/Inflation/" xr:uid="{309D63BB-689D-4CB3-BD1C-47EB07339163}"/>
    <hyperlink ref="A88" r:id="rId86" display="https://www.theglobaleconomy.com/Antigua-and-Barbuda/Inflation/" xr:uid="{28CB59C3-DD46-49FC-B628-CF461186F84E}"/>
    <hyperlink ref="A89" r:id="rId87" display="https://www.theglobaleconomy.com/Botswana/Inflation/" xr:uid="{08844685-69B3-4E18-8B39-9756BEFE0101}"/>
    <hyperlink ref="A90" r:id="rId88" display="https://www.theglobaleconomy.com/Malta/Inflation/" xr:uid="{2BF289BD-54D2-45DF-9003-CC442B01A6FA}"/>
    <hyperlink ref="A91" r:id="rId89" display="https://www.theglobaleconomy.com/Belarus/Inflation/" xr:uid="{F4D3DAED-EE76-4012-8122-EEFBAD6B10EA}"/>
    <hyperlink ref="A92" r:id="rId90" display="https://www.theglobaleconomy.com/Mauritania/Inflation/" xr:uid="{9019EFBB-5330-4B59-90E0-C04D413FC6BA}"/>
    <hyperlink ref="A93" r:id="rId91" display="https://www.theglobaleconomy.com/France/Inflation/" xr:uid="{61E06411-6B61-4A17-8375-5637941DE76B}"/>
    <hyperlink ref="A94" r:id="rId92" display="https://www.theglobaleconomy.com/Albania/Inflation/" xr:uid="{837CD21F-9005-41E1-9566-22A66BAB7EEB}"/>
    <hyperlink ref="A95" r:id="rId93" display="https://www.theglobaleconomy.com/Dominican-Republic/Inflation/" xr:uid="{F745A331-0339-4617-816C-66495C350300}"/>
    <hyperlink ref="A96" r:id="rId94" display="https://www.theglobaleconomy.com/Singapore/Inflation/" xr:uid="{AD08F544-8AFF-4D78-9A8E-70BC24DBF9DA}"/>
    <hyperlink ref="A97" r:id="rId95" display="https://www.theglobaleconomy.com/Brazil/Inflation/" xr:uid="{38CD003D-636C-4D65-9E2F-8B6A4128F28F}"/>
    <hyperlink ref="A98" r:id="rId96" display="https://www.theglobaleconomy.com/Paraguay/Inflation/" xr:uid="{1B739121-4BAC-4AC4-AE8A-71EAA886CAE8}"/>
    <hyperlink ref="A99" r:id="rId97" display="https://www.theglobaleconomy.com/Saint-Vincent-and-the-Grenadines/Inflation/" xr:uid="{99201F3E-9377-4ABD-A351-8D0B68C22266}"/>
    <hyperlink ref="A100" r:id="rId98" display="https://www.theglobaleconomy.com/Trinidad-and-Tobago/Inflation/" xr:uid="{8750CFA8-90A1-4C83-A2C8-DEF41473308A}"/>
    <hyperlink ref="A101" r:id="rId99" display="https://www.theglobaleconomy.com/Belize/Inflation/" xr:uid="{79C56EC1-B81F-4460-AD0F-5ADB14A4E7FF}"/>
    <hyperlink ref="A102" r:id="rId100" display="https://www.theglobaleconomy.com/Iraq/Inflation/" xr:uid="{F31C15CC-532C-4245-97D9-0F9C39C38C73}"/>
    <hyperlink ref="A103" r:id="rId101" display="https://www.theglobaleconomy.com/Ivory-Coast/Inflation/" xr:uid="{F8DB5371-DD60-4E02-978E-4251F4878D26}"/>
    <hyperlink ref="A104" r:id="rId102" display="https://www.theglobaleconomy.com/Portugal/Inflation/" xr:uid="{51584313-327E-4E10-A177-1D35B5C4198B}"/>
    <hyperlink ref="A105" r:id="rId103" display="https://www.theglobaleconomy.com/Republic-of-the-Congo/Inflation/" xr:uid="{ED8441F1-84F2-4032-8C62-3D4C4B48BB69}"/>
    <hyperlink ref="A106" r:id="rId104" display="https://www.theglobaleconomy.com/Bhutan/Inflation/" xr:uid="{230E6FAC-133D-4BEC-A1EA-83F675DE4407}"/>
    <hyperlink ref="A107" r:id="rId105" display="https://www.theglobaleconomy.com/Dominica/Inflation/" xr:uid="{8EB1ED25-77DA-4B8B-8839-6DB7B4DBA374}"/>
    <hyperlink ref="A108" r:id="rId106" display="https://www.theglobaleconomy.com/Israel/Inflation/" xr:uid="{81D14FB9-69F9-435B-ACD4-3ABF9AEE2A33}"/>
    <hyperlink ref="A109" r:id="rId107" display="https://www.theglobaleconomy.com/Saint-Lucia/Inflation/" xr:uid="{982A4852-ABFD-4B69-B6C0-4E0713CC7146}"/>
    <hyperlink ref="A110" r:id="rId108" display="https://www.theglobaleconomy.com/USA/Inflation/" xr:uid="{75CF71B7-1E7C-484F-B93C-6E174B26A362}"/>
    <hyperlink ref="A111" r:id="rId109" display="https://www.theglobaleconomy.com/Belgium/Inflation/" xr:uid="{D64814E8-ABAC-4320-A14B-766B2B198681}"/>
    <hyperlink ref="A112" r:id="rId110" display="https://www.theglobaleconomy.com/El-Salvador/Inflation/" xr:uid="{DA16FD8A-A759-4BA5-8B89-8A5C3418A1FA}"/>
    <hyperlink ref="A113" r:id="rId111" display="https://www.theglobaleconomy.com/Canada/Inflation/" xr:uid="{89A4BF94-E795-41C0-8756-37C6E9B6F9C2}"/>
    <hyperlink ref="A114" r:id="rId112" display="https://www.theglobaleconomy.com/Netherlands/Inflation/" xr:uid="{6CE0237F-67A1-4DFF-96A5-22FF10C97025}"/>
    <hyperlink ref="A115" r:id="rId113" display="https://www.theglobaleconomy.com/Tanzania/Inflation/" xr:uid="{D3E16594-1D7D-4378-817A-4A5656C82096}"/>
    <hyperlink ref="A116" r:id="rId114" display="https://www.theglobaleconomy.com/Cape-Verde/Inflation/" xr:uid="{7CE19B69-1F62-4D88-AA35-065B3F3886CE}"/>
    <hyperlink ref="A117" r:id="rId115" display="https://www.theglobaleconomy.com/Indonesia/Inflation/" xr:uid="{9A3B7E36-F5D5-4031-995D-038836622706}"/>
    <hyperlink ref="A118" r:id="rId116" display="https://www.theglobaleconomy.com/Luxembourg/Inflation/" xr:uid="{7CD6EB95-85BA-4DCF-8944-525BC2F0BC0B}"/>
    <hyperlink ref="A119" r:id="rId117" display="https://www.theglobaleconomy.com/Niger/Inflation/" xr:uid="{C431880D-3270-4331-8190-EF0C5149682C}"/>
    <hyperlink ref="A120" r:id="rId118" display="https://www.theglobaleconomy.com/Gabon/Inflation/" xr:uid="{EDFC3680-EC3D-405C-99F3-2E65A99D65AC}"/>
    <hyperlink ref="A121" r:id="rId119" display="https://www.theglobaleconomy.com/Kuwait/Inflation/" xr:uid="{77644D71-2895-427C-8B0C-2BB477839E5B}"/>
    <hyperlink ref="A122" r:id="rId120" display="https://www.theglobaleconomy.com/South-Korea/Inflation/" xr:uid="{E211E938-70D1-49F1-B8AC-65CC25566C1D}"/>
    <hyperlink ref="A123" r:id="rId121" display="https://www.theglobaleconomy.com/Cyprus/Inflation/" xr:uid="{710DAA9A-A4A8-4499-AFA2-C29D171E1240}"/>
    <hyperlink ref="A124" r:id="rId122" display="https://www.theglobaleconomy.com/Greece/Inflation/" xr:uid="{261E3687-2704-44F2-B501-3949EFF76E55}"/>
    <hyperlink ref="A125" r:id="rId123" display="https://www.theglobaleconomy.com/Spain/Inflation/" xr:uid="{A83AEEE4-35CB-460B-8092-60481299C73B}"/>
    <hyperlink ref="A126" r:id="rId124" display="https://www.theglobaleconomy.com/Denmark/Inflation/" xr:uid="{565F225E-290B-4EF8-A740-6152FA031C4F}"/>
    <hyperlink ref="A127" r:id="rId125" display="https://www.theglobaleconomy.com/Japan/Inflation/" xr:uid="{19994335-F71C-48A8-9DE8-2013E8E386F4}"/>
    <hyperlink ref="A128" r:id="rId126" display="https://www.theglobaleconomy.com/Vietnam/Inflation/" xr:uid="{99CDDB3B-3134-4ACF-A1A1-5A2E14849358}"/>
    <hyperlink ref="A129" r:id="rId127" display="https://www.theglobaleconomy.com/Bahamas/Inflation/" xr:uid="{5FB7E1DF-3EE3-4CA3-838C-BF49B91ACD7F}"/>
    <hyperlink ref="A130" r:id="rId128" display="https://www.theglobaleconomy.com/Central-African-Republic/Inflation/" xr:uid="{F89EBDC7-5DDD-453F-B388-C727F5EFBCA2}"/>
    <hyperlink ref="A131" r:id="rId129" display="https://www.theglobaleconomy.com/Qatar/Inflation/" xr:uid="{D8E302A4-8D23-411A-AF6B-287679C3370B}"/>
    <hyperlink ref="A132" r:id="rId130" display="https://www.theglobaleconomy.com/Maldives/Inflation/" xr:uid="{299322D8-6C24-47CA-8932-06878FB089AD}"/>
    <hyperlink ref="A133" r:id="rId131" display="https://www.theglobaleconomy.com/Guyana/Inflation/" xr:uid="{297113A9-8FD4-4D04-8131-68BE7273ED7A}"/>
    <hyperlink ref="A134" r:id="rId132" display="https://www.theglobaleconomy.com/Benin/Inflation/" xr:uid="{1C8C5377-BB5F-4AAB-95C4-9BD2D6807187}"/>
    <hyperlink ref="A135" r:id="rId133" display="https://www.theglobaleconomy.com/Grenada/Inflation/" xr:uid="{11F3EC2E-71CE-4E80-8982-ADDAF226FD1E}"/>
    <hyperlink ref="A136" r:id="rId134" display="https://www.theglobaleconomy.com/Bolivia/Inflation/" xr:uid="{72EED6F7-67D9-4542-8935-D1D7789B8FF7}"/>
    <hyperlink ref="A137" r:id="rId135" display="https://www.theglobaleconomy.com/Georgia/Inflation/" xr:uid="{42590504-BD83-4837-AB0F-68C783DAAC90}"/>
    <hyperlink ref="A138" r:id="rId136" display="https://www.theglobaleconomy.com/Malaysia/Inflation/" xr:uid="{B8C86DDA-7ABB-401B-A67B-08E9E0704F71}"/>
    <hyperlink ref="A139" r:id="rId137" display="https://www.theglobaleconomy.com/Libya/Inflation/" xr:uid="{4D61E037-25F1-4D10-98E9-C041E7F6414E}"/>
    <hyperlink ref="A140" r:id="rId138" display="https://www.theglobaleconomy.com/Papua-New-Guinea/Inflation/" xr:uid="{E61A1953-D0A3-42AE-9F36-777591BC2972}"/>
    <hyperlink ref="A141" r:id="rId139" display="https://www.theglobaleconomy.com/Saudi-Arabia/Inflation/" xr:uid="{EDC5A7A3-31DA-488C-8DA2-58A3180D2EB6}"/>
    <hyperlink ref="A142" r:id="rId140" display="https://www.theglobaleconomy.com/Ecuador/Inflation/" xr:uid="{5CC6FDB1-CC67-47F7-A0CE-1B07936FC777}"/>
    <hyperlink ref="A143" r:id="rId141" display="https://www.theglobaleconomy.com/Cambodia/Inflation/" xr:uid="{678E3525-5297-4F61-A76E-D42438A5D33A}"/>
    <hyperlink ref="A144" r:id="rId142" display="https://www.theglobaleconomy.com/Fiji/Inflation/" xr:uid="{8CDDBE87-6D71-409B-B81A-82C41678CC1E}"/>
    <hyperlink ref="A145" r:id="rId143" display="https://www.theglobaleconomy.com/Hong-Kong/Inflation/" xr:uid="{5028366F-46B8-47C5-99AD-E39DFF3BE4D7}"/>
    <hyperlink ref="A146" r:id="rId144" display="https://www.theglobaleconomy.com/Jordan/Inflation/" xr:uid="{6445CDF6-4D4F-427E-83F5-2CF6098190EB}"/>
    <hyperlink ref="A147" r:id="rId145" display="https://www.theglobaleconomy.com/Mali/Inflation/" xr:uid="{B14A5EFF-CFAC-443E-83DE-4A4993F3872F}"/>
    <hyperlink ref="A148" r:id="rId146" display="https://www.theglobaleconomy.com/Switzerland/Inflation/" xr:uid="{EE44A12F-459D-4A66-88C1-36D0FACE5965}"/>
    <hyperlink ref="A149" r:id="rId147" display="https://www.theglobaleconomy.com/Armenia/Inflation/" xr:uid="{B1827738-AA91-4889-8A44-2B07C2F56775}"/>
    <hyperlink ref="A150" r:id="rId148" display="https://www.theglobaleconomy.com/United-Arab-Emirates/Inflation/" xr:uid="{02ECD6F5-95F1-4402-B3F2-5F5C73C5F3B4}"/>
    <hyperlink ref="A151" r:id="rId149" display="https://www.theglobaleconomy.com/Djibouti/Inflation/" xr:uid="{549C48E2-DABE-42D8-872C-F23C5188C1D7}"/>
    <hyperlink ref="A152" r:id="rId150" display="https://www.theglobaleconomy.com/Panama/Inflation/" xr:uid="{2522CE56-8C19-4C9A-9628-ADF0888410DB}"/>
    <hyperlink ref="A153" r:id="rId151" display="https://www.theglobaleconomy.com/Thailand/Inflation/" xr:uid="{3F95EC9B-F134-4702-962D-7C8987813141}"/>
    <hyperlink ref="A154" r:id="rId152" display="https://www.theglobaleconomy.com/Oman/Inflation/" xr:uid="{BC913E0E-94E4-47E2-8B05-560C941A9F64}"/>
    <hyperlink ref="A155" r:id="rId153" display="https://www.theglobaleconomy.com/Burkina-Faso/Inflation/" xr:uid="{B81FC085-D69A-4455-B870-CC5F10508B90}"/>
    <hyperlink ref="A156" r:id="rId154" display="https://www.theglobaleconomy.com/Costa-Rica/Inflation/" xr:uid="{6C6DD7FC-7ADF-4EA0-B451-77C3FEA66D5B}"/>
    <hyperlink ref="A157" r:id="rId155" display="https://www.theglobaleconomy.com/Macao/Inflation/" xr:uid="{D8E78806-BC49-4C4C-B508-876F16F2F690}"/>
    <hyperlink ref="A158" r:id="rId156" display="https://www.theglobaleconomy.com/Brunei/Inflation/" xr:uid="{6FE5BD8E-D72A-48D8-995E-86E8F142B342}"/>
    <hyperlink ref="A159" r:id="rId157" display="https://www.theglobaleconomy.com/China/Inflation/" xr:uid="{7E34814E-D984-4A28-B6DD-53D960AA62DF}"/>
    <hyperlink ref="A160" r:id="rId158" display="https://www.theglobaleconomy.com/Bahrain/Inflation/" xr:uid="{C81E9602-C04D-491C-9871-8EDD9DF99271}"/>
    <hyperlink ref="A161" r:id="rId159" display="https://www.theglobaleconomy.com/Seychelles/Inflation/" xr:uid="{E0DE9C89-16B6-4036-ADCB-30F772B482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143bb2b0-7753-4975-bbf7-982030554e3b">In Progress</Complete>
    <ArchiverLinkFileType xmlns="143bb2b0-7753-4975-bbf7-982030554e3b" xsi:nil="true"/>
    <TaxCatchAll xmlns="4d150857-43f6-4916-81db-86e9d3e0338d" xsi:nil="true"/>
    <lcf76f155ced4ddcb4097134ff3c332f xmlns="143bb2b0-7753-4975-bbf7-982030554e3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2976166840A439FC200F64F73D6C6" ma:contentTypeVersion="21" ma:contentTypeDescription="Create a new document." ma:contentTypeScope="" ma:versionID="03523562bd89e37af47fedf60b037eae">
  <xsd:schema xmlns:xsd="http://www.w3.org/2001/XMLSchema" xmlns:xs="http://www.w3.org/2001/XMLSchema" xmlns:p="http://schemas.microsoft.com/office/2006/metadata/properties" xmlns:ns2="143bb2b0-7753-4975-bbf7-982030554e3b" xmlns:ns3="4d150857-43f6-4916-81db-86e9d3e0338d" targetNamespace="http://schemas.microsoft.com/office/2006/metadata/properties" ma:root="true" ma:fieldsID="7a0f3550fc94e64b797dfa7a2fb13110" ns2:_="" ns3:_="">
    <xsd:import namespace="143bb2b0-7753-4975-bbf7-982030554e3b"/>
    <xsd:import namespace="4d150857-43f6-4916-81db-86e9d3e03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Complete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bb2b0-7753-4975-bbf7-982030554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" ma:index="26" nillable="true" ma:displayName="Complete" ma:default="In Progress" ma:format="RadioButtons" ma:internalName="Complete">
      <xsd:simpleType>
        <xsd:restriction base="dms:Choice">
          <xsd:enumeration value="Complete"/>
          <xsd:enumeration value="In Progress"/>
          <xsd:enumeration value="Blocked"/>
        </xsd:restriction>
      </xsd:simpleType>
    </xsd:element>
    <xsd:element name="ArchiverLinkFileType" ma:index="27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50857-43f6-4916-81db-86e9d3e03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ae8578c-ba57-494d-af3b-b426f1437d3d}" ma:internalName="TaxCatchAll" ma:showField="CatchAllData" ma:web="4d150857-43f6-4916-81db-86e9d3e03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3C102-5C95-411D-AD75-FA00F01FC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09A655-CE71-40C9-868E-7F274AF57CF9}">
  <ds:schemaRefs>
    <ds:schemaRef ds:uri="http://purl.org/dc/dcmitype/"/>
    <ds:schemaRef ds:uri="http://purl.org/dc/terms/"/>
    <ds:schemaRef ds:uri="http://purl.org/dc/elements/1.1/"/>
    <ds:schemaRef ds:uri="http://www.w3.org/XML/1998/namespace"/>
    <ds:schemaRef ds:uri="143bb2b0-7753-4975-bbf7-982030554e3b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d150857-43f6-4916-81db-86e9d3e0338d"/>
  </ds:schemaRefs>
</ds:datastoreItem>
</file>

<file path=customXml/itemProps3.xml><?xml version="1.0" encoding="utf-8"?>
<ds:datastoreItem xmlns:ds="http://schemas.openxmlformats.org/officeDocument/2006/customXml" ds:itemID="{FF4C19BA-B1D2-4C5B-8428-096E22F6E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bb2b0-7753-4975-bbf7-982030554e3b"/>
    <ds:schemaRef ds:uri="4d150857-43f6-4916-81db-86e9d3e03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Human Development Index 2022</vt:lpstr>
      <vt:lpstr>202503421 Tourism Ireland - Dis</vt:lpstr>
      <vt:lpstr>Country Decoder - Final 2503205</vt:lpstr>
      <vt:lpstr>dataviz</vt:lpstr>
      <vt:lpstr>Country Decoder - All Factors</vt:lpstr>
      <vt:lpstr>Country Decoder - Final (2)</vt:lpstr>
      <vt:lpstr>Country Decoder - Final</vt:lpstr>
      <vt:lpstr>DPI</vt:lpstr>
      <vt:lpstr>Trips</vt:lpstr>
      <vt:lpstr>Spend</vt:lpstr>
      <vt:lpstr>Tourist Departures</vt:lpstr>
      <vt:lpstr>TD Raw Data</vt:lpstr>
      <vt:lpstr>Minimum Wage</vt:lpstr>
      <vt:lpstr>Hourly Minimum Wage Raw Data</vt:lpstr>
      <vt:lpstr>NoofMillionaires</vt:lpstr>
      <vt:lpstr>Inflation Rate</vt:lpstr>
      <vt:lpstr>NoofMillionaires Raw Data</vt:lpstr>
      <vt:lpstr>Population</vt:lpstr>
      <vt:lpstr>Search Volume</vt:lpstr>
      <vt:lpstr>Keyword List</vt:lpstr>
      <vt:lpstr>StandardofLiving</vt:lpstr>
      <vt:lpstr>GDP Per Capita</vt:lpstr>
      <vt:lpstr>MAS</vt:lpstr>
      <vt:lpstr>Population Raw Data</vt:lpstr>
      <vt:lpstr>GDP</vt:lpstr>
      <vt:lpstr>Cost of Media</vt:lpstr>
      <vt:lpstr>Magna Cost of Media</vt:lpstr>
      <vt:lpstr>Perception Scores</vt:lpstr>
      <vt:lpstr>Sheet1</vt:lpstr>
      <vt:lpstr>Inflation Rate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Jenny (LDN-UMW)</dc:creator>
  <cp:keywords/>
  <dc:description/>
  <cp:lastModifiedBy>Kaya, Emre (DUB-UMW)</cp:lastModifiedBy>
  <cp:revision/>
  <dcterms:created xsi:type="dcterms:W3CDTF">2025-03-19T15:51:42Z</dcterms:created>
  <dcterms:modified xsi:type="dcterms:W3CDTF">2025-08-07T11:13:47Z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0x010100E6E2976166840A439FC200F64F73D6C6</vt:lpwstr>
  </property>
  <property fmtid="{D5CDD505-2E9C-101B-9397-08002B2CF9AE}" pid="3" name="MediaServiceImageTags">
    <vt:lpwstr/>
  </property>
</Properties>
</file>