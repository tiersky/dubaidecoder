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re.kaya/Desktop/projects/abudhabi/egypt/"/>
    </mc:Choice>
  </mc:AlternateContent>
  <xr:revisionPtr revIDLastSave="0" documentId="13_ncr:1_{7190A4E2-055A-8E4A-B2D1-3EC7111922FC}" xr6:coauthVersionLast="47" xr6:coauthVersionMax="47" xr10:uidLastSave="{00000000-0000-0000-0000-000000000000}"/>
  <bookViews>
    <workbookView xWindow="30620" yWindow="680" windowWidth="42520" windowHeight="25840" tabRatio="721" activeTab="4" xr2:uid="{3982F333-F8C8-49F3-BE21-9E6A84481B54}"/>
  </bookViews>
  <sheets>
    <sheet name="Human Development Index 2022" sheetId="7" state="hidden" r:id="rId1"/>
    <sheet name="202503421 Tourism Ireland - Dis" sheetId="29" state="hidden" r:id="rId2"/>
    <sheet name="Country Decoder - no media cost" sheetId="37" state="hidden" r:id="rId3"/>
    <sheet name="Country Decoder - All Factors" sheetId="28" state="hidden" r:id="rId4"/>
    <sheet name="Model" sheetId="39" r:id="rId5"/>
    <sheet name="TD Raw Data" sheetId="19" state="hidden" r:id="rId6"/>
    <sheet name="Hourly Minimum Wage Raw Data" sheetId="16" state="hidden" r:id="rId7"/>
    <sheet name="NoofMillionaires Raw Data" sheetId="14" state="hidden" r:id="rId8"/>
    <sheet name="Population Raw Data" sheetId="9" state="hidden" r:id="rId9"/>
    <sheet name="Inflation Rate Raw Data" sheetId="12" state="hidden" r:id="rId10"/>
  </sheets>
  <definedNames>
    <definedName name="_xlnm._FilterDatabase" localSheetId="3" hidden="1">'Country Decoder - All Factors'!$B$2:$AA$2</definedName>
    <definedName name="_xlnm._FilterDatabase" localSheetId="2" hidden="1">'Country Decoder - no media cost'!$E$2:$W$2</definedName>
    <definedName name="_xlnm._FilterDatabase" localSheetId="4" hidden="1">Model!$J$2:$X$2</definedName>
    <definedName name="_xlnm._FilterDatabase" localSheetId="7" hidden="1">'NoofMillionaires Raw Data'!$A$1:$B$47</definedName>
    <definedName name="_xlnm.Print_Area" localSheetId="2">'Country Decoder - no media cost'!$B$1:$W$76</definedName>
    <definedName name="_xlnm.Print_Area" localSheetId="4">Model!$B$1:$X$87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39" l="1"/>
  <c r="R28" i="39"/>
  <c r="R39" i="39" s="1"/>
  <c r="R43" i="39" l="1"/>
  <c r="R36" i="39"/>
  <c r="R45" i="39"/>
  <c r="R44" i="39"/>
  <c r="R37" i="39"/>
  <c r="R53" i="39"/>
  <c r="R52" i="39"/>
  <c r="R60" i="39"/>
  <c r="R59" i="39"/>
  <c r="R51" i="39"/>
  <c r="R54" i="39"/>
  <c r="R46" i="39"/>
  <c r="R38" i="39"/>
  <c r="R57" i="39"/>
  <c r="R49" i="39"/>
  <c r="R41" i="39"/>
  <c r="R58" i="39"/>
  <c r="R50" i="39"/>
  <c r="R42" i="39"/>
  <c r="R56" i="39"/>
  <c r="R48" i="39"/>
  <c r="R40" i="39"/>
  <c r="R55" i="39"/>
  <c r="R47" i="39"/>
  <c r="N4" i="39" l="1"/>
  <c r="N5" i="39"/>
  <c r="N6" i="39"/>
  <c r="N7" i="39"/>
  <c r="N8" i="39"/>
  <c r="N9" i="39"/>
  <c r="N10" i="39"/>
  <c r="N11" i="39"/>
  <c r="N12" i="39"/>
  <c r="N13" i="39"/>
  <c r="N14" i="39"/>
  <c r="N15" i="39"/>
  <c r="N16" i="39"/>
  <c r="N17" i="39"/>
  <c r="N18" i="39"/>
  <c r="N19" i="39"/>
  <c r="N20" i="39"/>
  <c r="N21" i="39"/>
  <c r="N22" i="39"/>
  <c r="N23" i="39"/>
  <c r="N24" i="39"/>
  <c r="N25" i="39"/>
  <c r="N26" i="39"/>
  <c r="N27" i="39"/>
  <c r="N3" i="39"/>
  <c r="M29" i="39"/>
  <c r="M28" i="39"/>
  <c r="L29" i="39"/>
  <c r="L28" i="39"/>
  <c r="K35" i="39"/>
  <c r="N35" i="39"/>
  <c r="O35" i="39"/>
  <c r="P35" i="39"/>
  <c r="Q35" i="39"/>
  <c r="S35" i="39"/>
  <c r="K28" i="39"/>
  <c r="P28" i="39"/>
  <c r="Q28" i="39"/>
  <c r="S28" i="39"/>
  <c r="K29" i="39"/>
  <c r="P29" i="39"/>
  <c r="Q29" i="39"/>
  <c r="S29" i="39"/>
  <c r="J34" i="37"/>
  <c r="F33" i="37"/>
  <c r="L32" i="37"/>
  <c r="F24" i="37"/>
  <c r="L22" i="37"/>
  <c r="K22" i="37"/>
  <c r="J22" i="37"/>
  <c r="I22" i="37"/>
  <c r="F22" i="37"/>
  <c r="L16" i="37"/>
  <c r="K16" i="37"/>
  <c r="J16" i="37"/>
  <c r="I16" i="37"/>
  <c r="H16" i="37"/>
  <c r="G16" i="37"/>
  <c r="F16" i="37"/>
  <c r="F31" i="37" s="1"/>
  <c r="L15" i="37"/>
  <c r="L34" i="37" s="1"/>
  <c r="K15" i="37"/>
  <c r="K34" i="37" s="1"/>
  <c r="J15" i="37"/>
  <c r="J29" i="37" s="1"/>
  <c r="I15" i="37"/>
  <c r="H15" i="37"/>
  <c r="H31" i="37" s="1"/>
  <c r="G15" i="37"/>
  <c r="G33" i="37" s="1"/>
  <c r="F15" i="37"/>
  <c r="M39" i="39" l="1"/>
  <c r="M37" i="39"/>
  <c r="M42" i="39"/>
  <c r="M44" i="39"/>
  <c r="M43" i="39"/>
  <c r="M38" i="39"/>
  <c r="M54" i="39"/>
  <c r="M53" i="39"/>
  <c r="M60" i="39"/>
  <c r="M58" i="39"/>
  <c r="M57" i="39"/>
  <c r="M49" i="39"/>
  <c r="M41" i="39"/>
  <c r="M52" i="39"/>
  <c r="M59" i="39"/>
  <c r="M50" i="39"/>
  <c r="M56" i="39"/>
  <c r="M48" i="39"/>
  <c r="M40" i="39"/>
  <c r="M46" i="39"/>
  <c r="M45" i="39"/>
  <c r="M51" i="39"/>
  <c r="M55" i="39"/>
  <c r="M47" i="39"/>
  <c r="N28" i="39"/>
  <c r="N29" i="39"/>
  <c r="N44" i="39" s="1"/>
  <c r="M36" i="39"/>
  <c r="P59" i="39"/>
  <c r="L37" i="39"/>
  <c r="P60" i="39"/>
  <c r="K37" i="39"/>
  <c r="L51" i="39"/>
  <c r="P43" i="39"/>
  <c r="L50" i="39"/>
  <c r="L49" i="39"/>
  <c r="L58" i="39"/>
  <c r="L42" i="39"/>
  <c r="L48" i="39"/>
  <c r="L43" i="39"/>
  <c r="Q37" i="39"/>
  <c r="L57" i="39"/>
  <c r="L41" i="39"/>
  <c r="L59" i="39"/>
  <c r="L56" i="39"/>
  <c r="L40" i="39"/>
  <c r="P37" i="39"/>
  <c r="L60" i="39"/>
  <c r="L52" i="39"/>
  <c r="L44" i="39"/>
  <c r="L55" i="39"/>
  <c r="L47" i="39"/>
  <c r="L39" i="39"/>
  <c r="P44" i="39"/>
  <c r="S37" i="39"/>
  <c r="L54" i="39"/>
  <c r="L46" i="39"/>
  <c r="L38" i="39"/>
  <c r="L36" i="39"/>
  <c r="L53" i="39"/>
  <c r="L45" i="39"/>
  <c r="P41" i="39"/>
  <c r="P56" i="39"/>
  <c r="Q44" i="39"/>
  <c r="P48" i="39"/>
  <c r="Q57" i="39"/>
  <c r="P52" i="39"/>
  <c r="K60" i="39"/>
  <c r="S49" i="39"/>
  <c r="P40" i="39"/>
  <c r="Q52" i="39"/>
  <c r="P51" i="39"/>
  <c r="K52" i="39"/>
  <c r="P57" i="39"/>
  <c r="Q60" i="39"/>
  <c r="Q41" i="39"/>
  <c r="Q49" i="39"/>
  <c r="P49" i="39"/>
  <c r="K44" i="39"/>
  <c r="S44" i="39"/>
  <c r="S59" i="39"/>
  <c r="S51" i="39"/>
  <c r="S43" i="39"/>
  <c r="Q59" i="39"/>
  <c r="Q51" i="39"/>
  <c r="Q43" i="39"/>
  <c r="K59" i="39"/>
  <c r="K51" i="39"/>
  <c r="K43" i="39"/>
  <c r="S58" i="39"/>
  <c r="S50" i="39"/>
  <c r="S42" i="39"/>
  <c r="Q58" i="39"/>
  <c r="Q50" i="39"/>
  <c r="Q42" i="39"/>
  <c r="P58" i="39"/>
  <c r="P50" i="39"/>
  <c r="P42" i="39"/>
  <c r="K58" i="39"/>
  <c r="K50" i="39"/>
  <c r="K42" i="39"/>
  <c r="K56" i="39"/>
  <c r="K48" i="39"/>
  <c r="K40" i="39"/>
  <c r="S60" i="39"/>
  <c r="S57" i="39"/>
  <c r="K57" i="39"/>
  <c r="S55" i="39"/>
  <c r="S47" i="39"/>
  <c r="S39" i="39"/>
  <c r="Q55" i="39"/>
  <c r="Q47" i="39"/>
  <c r="Q39" i="39"/>
  <c r="P55" i="39"/>
  <c r="P47" i="39"/>
  <c r="P39" i="39"/>
  <c r="K55" i="39"/>
  <c r="K47" i="39"/>
  <c r="K39" i="39"/>
  <c r="S52" i="39"/>
  <c r="S41" i="39"/>
  <c r="K49" i="39"/>
  <c r="S56" i="39"/>
  <c r="S48" i="39"/>
  <c r="S40" i="39"/>
  <c r="Q56" i="39"/>
  <c r="Q48" i="39"/>
  <c r="Q40" i="39"/>
  <c r="S54" i="39"/>
  <c r="S46" i="39"/>
  <c r="S38" i="39"/>
  <c r="Q54" i="39"/>
  <c r="Q46" i="39"/>
  <c r="Q38" i="39"/>
  <c r="P54" i="39"/>
  <c r="P46" i="39"/>
  <c r="P38" i="39"/>
  <c r="N54" i="39"/>
  <c r="K54" i="39"/>
  <c r="K46" i="39"/>
  <c r="K38" i="39"/>
  <c r="K41" i="39"/>
  <c r="N56" i="39"/>
  <c r="S53" i="39"/>
  <c r="S45" i="39"/>
  <c r="Q53" i="39"/>
  <c r="Q45" i="39"/>
  <c r="P53" i="39"/>
  <c r="P45" i="39"/>
  <c r="N45" i="39"/>
  <c r="K53" i="39"/>
  <c r="K45" i="39"/>
  <c r="O28" i="39"/>
  <c r="O29" i="39"/>
  <c r="K36" i="39"/>
  <c r="P36" i="39"/>
  <c r="Q36" i="39"/>
  <c r="S36" i="39"/>
  <c r="I31" i="37"/>
  <c r="G24" i="37"/>
  <c r="K25" i="37"/>
  <c r="L25" i="37"/>
  <c r="F26" i="37"/>
  <c r="J27" i="37"/>
  <c r="K27" i="37"/>
  <c r="F28" i="37"/>
  <c r="F29" i="37"/>
  <c r="G31" i="37"/>
  <c r="H26" i="37"/>
  <c r="H33" i="37"/>
  <c r="K29" i="37"/>
  <c r="J24" i="37"/>
  <c r="I26" i="37"/>
  <c r="G28" i="37"/>
  <c r="L29" i="37"/>
  <c r="J31" i="37"/>
  <c r="I33" i="37"/>
  <c r="F23" i="37"/>
  <c r="K24" i="37"/>
  <c r="H28" i="37"/>
  <c r="F30" i="37"/>
  <c r="K31" i="37"/>
  <c r="G23" i="37"/>
  <c r="L24" i="37"/>
  <c r="J26" i="37"/>
  <c r="I28" i="37"/>
  <c r="G30" i="37"/>
  <c r="L31" i="37"/>
  <c r="J33" i="37"/>
  <c r="H23" i="37"/>
  <c r="F25" i="37"/>
  <c r="K26" i="37"/>
  <c r="H30" i="37"/>
  <c r="F32" i="37"/>
  <c r="K33" i="37"/>
  <c r="I23" i="37"/>
  <c r="G25" i="37"/>
  <c r="L26" i="37"/>
  <c r="J28" i="37"/>
  <c r="I30" i="37"/>
  <c r="G32" i="37"/>
  <c r="L33" i="37"/>
  <c r="H25" i="37"/>
  <c r="F27" i="37"/>
  <c r="K28" i="37"/>
  <c r="H32" i="37"/>
  <c r="F34" i="37"/>
  <c r="J23" i="37"/>
  <c r="I25" i="37"/>
  <c r="G27" i="37"/>
  <c r="L28" i="37"/>
  <c r="J30" i="37"/>
  <c r="I32" i="37"/>
  <c r="G34" i="37"/>
  <c r="K23" i="37"/>
  <c r="H27" i="37"/>
  <c r="K30" i="37"/>
  <c r="H34" i="37"/>
  <c r="L23" i="37"/>
  <c r="J25" i="37"/>
  <c r="I27" i="37"/>
  <c r="G29" i="37"/>
  <c r="L30" i="37"/>
  <c r="J32" i="37"/>
  <c r="I34" i="37"/>
  <c r="H29" i="37"/>
  <c r="K32" i="37"/>
  <c r="I29" i="37"/>
  <c r="H24" i="37"/>
  <c r="I24" i="37"/>
  <c r="G26" i="37"/>
  <c r="L27" i="37"/>
  <c r="N55" i="39" l="1"/>
  <c r="V22" i="39" s="1"/>
  <c r="N52" i="39"/>
  <c r="V19" i="39" s="1"/>
  <c r="N37" i="39"/>
  <c r="N38" i="39"/>
  <c r="V5" i="39" s="1"/>
  <c r="N48" i="39"/>
  <c r="N46" i="39"/>
  <c r="N43" i="39"/>
  <c r="N39" i="39"/>
  <c r="N58" i="39"/>
  <c r="N53" i="39"/>
  <c r="N50" i="39"/>
  <c r="V17" i="39" s="1"/>
  <c r="N59" i="39"/>
  <c r="N40" i="39"/>
  <c r="N57" i="39"/>
  <c r="N47" i="39"/>
  <c r="N42" i="39"/>
  <c r="V9" i="39" s="1"/>
  <c r="N51" i="39"/>
  <c r="V18" i="39" s="1"/>
  <c r="N60" i="39"/>
  <c r="N36" i="39"/>
  <c r="V3" i="39" s="1"/>
  <c r="N49" i="39"/>
  <c r="N41" i="39"/>
  <c r="O37" i="39"/>
  <c r="O45" i="39"/>
  <c r="O53" i="39"/>
  <c r="O48" i="39"/>
  <c r="O41" i="39"/>
  <c r="O57" i="39"/>
  <c r="V24" i="39" s="1"/>
  <c r="O38" i="39"/>
  <c r="O46" i="39"/>
  <c r="V13" i="39" s="1"/>
  <c r="O54" i="39"/>
  <c r="O56" i="39"/>
  <c r="O49" i="39"/>
  <c r="O39" i="39"/>
  <c r="O47" i="39"/>
  <c r="O55" i="39"/>
  <c r="O60" i="39"/>
  <c r="O40" i="39"/>
  <c r="O42" i="39"/>
  <c r="O50" i="39"/>
  <c r="O58" i="39"/>
  <c r="V25" i="39" s="1"/>
  <c r="O43" i="39"/>
  <c r="O51" i="39"/>
  <c r="O59" i="39"/>
  <c r="O44" i="39"/>
  <c r="O52" i="39"/>
  <c r="O36" i="39"/>
  <c r="O11" i="37"/>
  <c r="O9" i="37"/>
  <c r="O13" i="37"/>
  <c r="O8" i="37"/>
  <c r="O6" i="37"/>
  <c r="O14" i="37"/>
  <c r="O12" i="37"/>
  <c r="O4" i="37"/>
  <c r="O10" i="37"/>
  <c r="O7" i="37"/>
  <c r="O5" i="37"/>
  <c r="O3" i="37"/>
  <c r="V14" i="39" l="1"/>
  <c r="V8" i="39"/>
  <c r="V20" i="39"/>
  <c r="V4" i="39"/>
  <c r="V12" i="39"/>
  <c r="V6" i="39"/>
  <c r="V21" i="39"/>
  <c r="V26" i="39"/>
  <c r="V23" i="39"/>
  <c r="V7" i="39"/>
  <c r="V11" i="39"/>
  <c r="V16" i="39"/>
  <c r="V27" i="39"/>
  <c r="V15" i="39"/>
  <c r="V10" i="39"/>
  <c r="P3" i="37"/>
  <c r="Q3" i="37" s="1"/>
  <c r="P5" i="37"/>
  <c r="Q5" i="37" s="1"/>
  <c r="P6" i="37"/>
  <c r="Q6" i="37" s="1"/>
  <c r="P7" i="37"/>
  <c r="Q7" i="37" s="1"/>
  <c r="P10" i="37"/>
  <c r="Q10" i="37" s="1"/>
  <c r="P4" i="37"/>
  <c r="Q4" i="37" s="1"/>
  <c r="P12" i="37"/>
  <c r="Q12" i="37" s="1"/>
  <c r="P14" i="37"/>
  <c r="Q14" i="37" s="1"/>
  <c r="P8" i="37"/>
  <c r="Q8" i="37" s="1"/>
  <c r="P13" i="37"/>
  <c r="Q13" i="37" s="1"/>
  <c r="P11" i="37"/>
  <c r="Q11" i="37" s="1"/>
  <c r="P9" i="37"/>
  <c r="Q9" i="37" s="1"/>
  <c r="W27" i="39" l="1"/>
  <c r="X27" i="39" s="1"/>
  <c r="W4" i="39"/>
  <c r="X4" i="39" s="1"/>
  <c r="W14" i="39"/>
  <c r="X14" i="39" s="1"/>
  <c r="W23" i="39"/>
  <c r="X23" i="39" s="1"/>
  <c r="W25" i="39"/>
  <c r="X25" i="39" s="1"/>
  <c r="W16" i="39"/>
  <c r="X16" i="39" s="1"/>
  <c r="W8" i="39"/>
  <c r="X8" i="39" s="1"/>
  <c r="W17" i="39"/>
  <c r="X17" i="39" s="1"/>
  <c r="W26" i="39"/>
  <c r="X26" i="39" s="1"/>
  <c r="W19" i="39"/>
  <c r="X19" i="39" s="1"/>
  <c r="W21" i="39"/>
  <c r="X21" i="39" s="1"/>
  <c r="W5" i="39"/>
  <c r="X5" i="39" s="1"/>
  <c r="W22" i="39"/>
  <c r="X22" i="39" s="1"/>
  <c r="W11" i="39"/>
  <c r="X11" i="39" s="1"/>
  <c r="W18" i="39"/>
  <c r="X18" i="39" s="1"/>
  <c r="W3" i="39"/>
  <c r="X3" i="39" s="1"/>
  <c r="W9" i="39"/>
  <c r="X9" i="39" s="1"/>
  <c r="W7" i="39"/>
  <c r="X7" i="39" s="1"/>
  <c r="W6" i="39"/>
  <c r="X6" i="39" s="1"/>
  <c r="W24" i="39"/>
  <c r="X24" i="39" s="1"/>
  <c r="W10" i="39"/>
  <c r="X10" i="39" s="1"/>
  <c r="W15" i="39"/>
  <c r="X15" i="39" s="1"/>
  <c r="W12" i="39"/>
  <c r="X12" i="39" s="1"/>
  <c r="W20" i="39"/>
  <c r="X20" i="39" s="1"/>
  <c r="W13" i="39"/>
  <c r="X13" i="39" s="1"/>
  <c r="C22" i="28" l="1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T22" i="28"/>
  <c r="U22" i="28"/>
  <c r="W22" i="28"/>
  <c r="X22" i="28"/>
  <c r="C23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T23" i="28"/>
  <c r="W23" i="28"/>
  <c r="X23" i="28" s="1"/>
  <c r="C24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T24" i="28"/>
  <c r="W24" i="28"/>
  <c r="X24" i="28" s="1"/>
  <c r="C25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T25" i="28"/>
  <c r="W25" i="28"/>
  <c r="X25" i="28"/>
  <c r="C26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T26" i="28"/>
  <c r="W26" i="28"/>
  <c r="X26" i="28" s="1"/>
  <c r="C27" i="28"/>
  <c r="D27" i="28"/>
  <c r="E27" i="28"/>
  <c r="F27" i="28"/>
  <c r="G27" i="28"/>
  <c r="H27" i="28"/>
  <c r="I27" i="28"/>
  <c r="J27" i="28"/>
  <c r="K27" i="28"/>
  <c r="L27" i="28"/>
  <c r="M27" i="28"/>
  <c r="N27" i="28"/>
  <c r="O27" i="28"/>
  <c r="P27" i="28"/>
  <c r="Q27" i="28"/>
  <c r="R27" i="28"/>
  <c r="T27" i="28"/>
  <c r="W27" i="28"/>
  <c r="X27" i="28"/>
  <c r="C28" i="28"/>
  <c r="D28" i="28"/>
  <c r="E28" i="28"/>
  <c r="F28" i="28"/>
  <c r="G28" i="28"/>
  <c r="H28" i="28"/>
  <c r="I28" i="28"/>
  <c r="J28" i="28"/>
  <c r="K28" i="28"/>
  <c r="L28" i="28"/>
  <c r="M28" i="28"/>
  <c r="N28" i="28"/>
  <c r="O28" i="28"/>
  <c r="P28" i="28"/>
  <c r="Q28" i="28"/>
  <c r="R28" i="28"/>
  <c r="T28" i="28"/>
  <c r="W28" i="28"/>
  <c r="X28" i="28" s="1"/>
  <c r="M4" i="28" l="1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3" i="28"/>
  <c r="M2" i="28"/>
  <c r="L2" i="28"/>
  <c r="S22" i="28"/>
  <c r="C9" i="28"/>
  <c r="U9" i="28"/>
  <c r="U10" i="28"/>
  <c r="U13" i="28"/>
  <c r="U16" i="28"/>
  <c r="U21" i="28"/>
  <c r="T4" i="28"/>
  <c r="T5" i="28"/>
  <c r="T6" i="28"/>
  <c r="T7" i="28"/>
  <c r="T8" i="28"/>
  <c r="T9" i="28"/>
  <c r="T10" i="28"/>
  <c r="T11" i="28"/>
  <c r="T12" i="28"/>
  <c r="T13" i="28"/>
  <c r="T14" i="28"/>
  <c r="T15" i="28"/>
  <c r="T16" i="28"/>
  <c r="T17" i="28"/>
  <c r="T18" i="28"/>
  <c r="T19" i="28"/>
  <c r="T20" i="28"/>
  <c r="T21" i="28"/>
  <c r="T3" i="28"/>
  <c r="S18" i="28"/>
  <c r="R4" i="28"/>
  <c r="R5" i="28"/>
  <c r="R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3" i="28"/>
  <c r="Q4" i="28"/>
  <c r="Q5" i="28"/>
  <c r="Q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19" i="28"/>
  <c r="Q20" i="28"/>
  <c r="Q21" i="28"/>
  <c r="Q3" i="28"/>
  <c r="P4" i="28"/>
  <c r="P5" i="28"/>
  <c r="P6" i="28"/>
  <c r="P7" i="28"/>
  <c r="P8" i="28"/>
  <c r="P9" i="28"/>
  <c r="P10" i="28"/>
  <c r="P11" i="28"/>
  <c r="P12" i="28"/>
  <c r="P13" i="28"/>
  <c r="P14" i="28"/>
  <c r="P15" i="28"/>
  <c r="P16" i="28"/>
  <c r="P17" i="28"/>
  <c r="P18" i="28"/>
  <c r="P19" i="28"/>
  <c r="P20" i="28"/>
  <c r="P21" i="28"/>
  <c r="P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31" i="28"/>
  <c r="D32" i="28"/>
  <c r="D33" i="28"/>
  <c r="D34" i="28"/>
  <c r="D3" i="28"/>
  <c r="D29" i="28" s="1"/>
  <c r="C4" i="28"/>
  <c r="C5" i="28"/>
  <c r="C6" i="28"/>
  <c r="C7" i="28"/>
  <c r="C8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3" i="28"/>
  <c r="G31" i="28"/>
  <c r="I2" i="28"/>
  <c r="N11" i="28"/>
  <c r="W11" i="28"/>
  <c r="X11" i="28"/>
  <c r="N12" i="28"/>
  <c r="W12" i="28"/>
  <c r="X12" i="28" s="1"/>
  <c r="N13" i="28"/>
  <c r="W13" i="28"/>
  <c r="X13" i="28" s="1"/>
  <c r="N14" i="28"/>
  <c r="W14" i="28"/>
  <c r="X14" i="28"/>
  <c r="N15" i="28"/>
  <c r="W15" i="28"/>
  <c r="X15" i="28" s="1"/>
  <c r="N16" i="28"/>
  <c r="W16" i="28"/>
  <c r="X16" i="28" s="1"/>
  <c r="N17" i="28"/>
  <c r="W17" i="28"/>
  <c r="X17" i="28"/>
  <c r="N18" i="28"/>
  <c r="W18" i="28"/>
  <c r="X18" i="28"/>
  <c r="N19" i="28"/>
  <c r="W19" i="28"/>
  <c r="X19" i="28" s="1"/>
  <c r="N20" i="28"/>
  <c r="W20" i="28"/>
  <c r="X20" i="28" s="1"/>
  <c r="N21" i="28"/>
  <c r="W21" i="28"/>
  <c r="X21" i="28"/>
  <c r="W3" i="28"/>
  <c r="X3" i="28" s="1"/>
  <c r="N3" i="28"/>
  <c r="S26" i="28"/>
  <c r="S13" i="28"/>
  <c r="S10" i="28"/>
  <c r="S8" i="28"/>
  <c r="S9" i="28"/>
  <c r="S27" i="28"/>
  <c r="S14" i="28"/>
  <c r="S11" i="28"/>
  <c r="S25" i="28"/>
  <c r="S3" i="28"/>
  <c r="S21" i="28"/>
  <c r="S19" i="28"/>
  <c r="G29" i="28" l="1"/>
  <c r="P29" i="28"/>
  <c r="Q30" i="28"/>
  <c r="T29" i="28"/>
  <c r="D30" i="28"/>
  <c r="O30" i="28"/>
  <c r="P30" i="28"/>
  <c r="Q29" i="28"/>
  <c r="C29" i="28"/>
  <c r="E30" i="28"/>
  <c r="T30" i="28"/>
  <c r="O29" i="28"/>
  <c r="G30" i="28"/>
  <c r="R29" i="28"/>
  <c r="R30" i="28"/>
  <c r="F30" i="28"/>
  <c r="E29" i="28"/>
  <c r="F29" i="28"/>
  <c r="C30" i="28"/>
  <c r="B48" i="28" l="1"/>
  <c r="B47" i="28"/>
  <c r="B46" i="28"/>
  <c r="B45" i="28"/>
  <c r="B44" i="28"/>
  <c r="B43" i="28"/>
  <c r="B42" i="28"/>
  <c r="B41" i="28"/>
  <c r="B40" i="28"/>
  <c r="B39" i="28"/>
  <c r="B38" i="28"/>
  <c r="B37" i="28"/>
  <c r="AA32" i="28"/>
  <c r="V29" i="28"/>
  <c r="W10" i="28"/>
  <c r="X10" i="28" s="1"/>
  <c r="N10" i="28"/>
  <c r="W9" i="28"/>
  <c r="X9" i="28" s="1"/>
  <c r="N9" i="28"/>
  <c r="W8" i="28"/>
  <c r="X8" i="28" s="1"/>
  <c r="N8" i="28"/>
  <c r="W7" i="28"/>
  <c r="X7" i="28" s="1"/>
  <c r="N7" i="28"/>
  <c r="W6" i="28"/>
  <c r="X6" i="28" s="1"/>
  <c r="N6" i="28"/>
  <c r="W5" i="28"/>
  <c r="X5" i="28" s="1"/>
  <c r="N5" i="28"/>
  <c r="W4" i="28"/>
  <c r="X4" i="28" s="1"/>
  <c r="N4" i="28"/>
  <c r="L29" i="28"/>
  <c r="U2" i="28"/>
  <c r="U36" i="28" s="1"/>
  <c r="T2" i="28"/>
  <c r="T36" i="28" s="1"/>
  <c r="S2" i="28"/>
  <c r="S36" i="28" s="1"/>
  <c r="R2" i="28"/>
  <c r="R36" i="28" s="1"/>
  <c r="Q2" i="28"/>
  <c r="Q36" i="28" s="1"/>
  <c r="P2" i="28"/>
  <c r="P36" i="28" s="1"/>
  <c r="O2" i="28"/>
  <c r="O36" i="28" s="1"/>
  <c r="N2" i="28"/>
  <c r="N36" i="28" s="1"/>
  <c r="M36" i="28"/>
  <c r="L36" i="28"/>
  <c r="K2" i="28"/>
  <c r="K36" i="28" s="1"/>
  <c r="J2" i="28"/>
  <c r="J36" i="28" s="1"/>
  <c r="I36" i="28"/>
  <c r="H2" i="28"/>
  <c r="H36" i="28" s="1"/>
  <c r="G2" i="28"/>
  <c r="G36" i="28" s="1"/>
  <c r="F2" i="28"/>
  <c r="F36" i="28" s="1"/>
  <c r="E2" i="28"/>
  <c r="E36" i="28" s="1"/>
  <c r="D2" i="28"/>
  <c r="D36" i="28" s="1"/>
  <c r="C2" i="28"/>
  <c r="C36" i="28" s="1"/>
  <c r="U17" i="28"/>
  <c r="U18" i="28"/>
  <c r="U19" i="28"/>
  <c r="U20" i="28"/>
  <c r="U11" i="28"/>
  <c r="U12" i="28"/>
  <c r="U14" i="28"/>
  <c r="U15" i="28"/>
  <c r="U8" i="28"/>
  <c r="U27" i="28"/>
  <c r="U7" i="28"/>
  <c r="U28" i="28"/>
  <c r="U5" i="28"/>
  <c r="U23" i="28"/>
  <c r="U24" i="28"/>
  <c r="U3" i="28"/>
  <c r="U25" i="28" l="1"/>
  <c r="U26" i="28"/>
  <c r="U6" i="28"/>
  <c r="U4" i="28"/>
  <c r="L30" i="28"/>
  <c r="L38" i="28" s="1"/>
  <c r="D37" i="28"/>
  <c r="D40" i="28"/>
  <c r="M29" i="28"/>
  <c r="F42" i="28"/>
  <c r="M30" i="28"/>
  <c r="N29" i="28"/>
  <c r="N30" i="28"/>
  <c r="D38" i="28"/>
  <c r="D41" i="28"/>
  <c r="P48" i="28"/>
  <c r="U30" i="28" l="1"/>
  <c r="U29" i="28"/>
  <c r="U46" i="28" s="1"/>
  <c r="D46" i="28"/>
  <c r="D43" i="28"/>
  <c r="D48" i="28"/>
  <c r="D39" i="28"/>
  <c r="R46" i="28"/>
  <c r="R39" i="28"/>
  <c r="R40" i="28"/>
  <c r="R47" i="28"/>
  <c r="R41" i="28"/>
  <c r="U41" i="28"/>
  <c r="U39" i="28"/>
  <c r="O44" i="28"/>
  <c r="U37" i="28"/>
  <c r="L42" i="28"/>
  <c r="M38" i="28"/>
  <c r="L44" i="28"/>
  <c r="L40" i="28"/>
  <c r="L47" i="28"/>
  <c r="L37" i="28"/>
  <c r="L39" i="28"/>
  <c r="U48" i="28"/>
  <c r="L48" i="28"/>
  <c r="D44" i="28"/>
  <c r="R43" i="28"/>
  <c r="L45" i="28"/>
  <c r="U38" i="28"/>
  <c r="U45" i="28"/>
  <c r="M46" i="28"/>
  <c r="R44" i="28"/>
  <c r="R38" i="28"/>
  <c r="L41" i="28"/>
  <c r="R42" i="28"/>
  <c r="L43" i="28"/>
  <c r="D47" i="28"/>
  <c r="D42" i="28"/>
  <c r="D45" i="28"/>
  <c r="N46" i="28"/>
  <c r="M42" i="28"/>
  <c r="L46" i="28"/>
  <c r="N45" i="28"/>
  <c r="M48" i="28"/>
  <c r="N39" i="28"/>
  <c r="N40" i="28"/>
  <c r="F47" i="28"/>
  <c r="F37" i="28"/>
  <c r="F45" i="28"/>
  <c r="F44" i="28"/>
  <c r="F46" i="28"/>
  <c r="F41" i="28"/>
  <c r="F48" i="28"/>
  <c r="P44" i="28"/>
  <c r="O43" i="28"/>
  <c r="O40" i="28"/>
  <c r="O38" i="28"/>
  <c r="R45" i="28"/>
  <c r="R48" i="28"/>
  <c r="R37" i="28"/>
  <c r="O45" i="28"/>
  <c r="O37" i="28"/>
  <c r="O48" i="28"/>
  <c r="O46" i="28"/>
  <c r="M40" i="28"/>
  <c r="O41" i="28"/>
  <c r="N47" i="28"/>
  <c r="P45" i="28"/>
  <c r="P39" i="28"/>
  <c r="P37" i="28"/>
  <c r="P47" i="28"/>
  <c r="P41" i="28"/>
  <c r="N44" i="28"/>
  <c r="P46" i="28"/>
  <c r="N37" i="28"/>
  <c r="N42" i="28"/>
  <c r="F39" i="28"/>
  <c r="O39" i="28"/>
  <c r="P42" i="28"/>
  <c r="P40" i="28"/>
  <c r="N48" i="28"/>
  <c r="M47" i="28"/>
  <c r="M45" i="28"/>
  <c r="M43" i="28"/>
  <c r="M41" i="28"/>
  <c r="M39" i="28"/>
  <c r="M37" i="28"/>
  <c r="F38" i="28"/>
  <c r="P38" i="28"/>
  <c r="F40" i="28"/>
  <c r="N43" i="28"/>
  <c r="N38" i="28"/>
  <c r="M44" i="28"/>
  <c r="O47" i="28"/>
  <c r="O42" i="28"/>
  <c r="N41" i="28"/>
  <c r="F43" i="28"/>
  <c r="P43" i="28"/>
  <c r="U40" i="28" l="1"/>
  <c r="U47" i="28"/>
  <c r="U43" i="28"/>
  <c r="U44" i="28"/>
  <c r="U42" i="28"/>
  <c r="T44" i="28"/>
  <c r="T37" i="28"/>
  <c r="T48" i="28"/>
  <c r="T45" i="28"/>
  <c r="T46" i="28"/>
  <c r="T38" i="28"/>
  <c r="T40" i="28"/>
  <c r="T42" i="28"/>
  <c r="T39" i="28"/>
  <c r="T43" i="28"/>
  <c r="T41" i="28"/>
  <c r="T47" i="28"/>
  <c r="S16" i="28"/>
  <c r="S6" i="28"/>
  <c r="S7" i="28"/>
  <c r="S15" i="28"/>
  <c r="S23" i="28"/>
  <c r="S17" i="28"/>
  <c r="S12" i="28"/>
  <c r="S5" i="28" l="1"/>
  <c r="S4" i="28"/>
  <c r="S28" i="28"/>
  <c r="C45" i="28"/>
  <c r="J29" i="28"/>
  <c r="J30" i="28"/>
  <c r="E43" i="28"/>
  <c r="H29" i="28"/>
  <c r="H30" i="28"/>
  <c r="C44" i="28"/>
  <c r="C38" i="28"/>
  <c r="C42" i="28"/>
  <c r="C47" i="28"/>
  <c r="C48" i="28"/>
  <c r="C37" i="28"/>
  <c r="C46" i="28"/>
  <c r="C41" i="28"/>
  <c r="C40" i="28"/>
  <c r="C39" i="28"/>
  <c r="C43" i="28"/>
  <c r="E46" i="28"/>
  <c r="E37" i="28"/>
  <c r="E42" i="28"/>
  <c r="E39" i="28"/>
  <c r="E45" i="28"/>
  <c r="E38" i="28"/>
  <c r="E40" i="28"/>
  <c r="E47" i="28"/>
  <c r="E41" i="28"/>
  <c r="E48" i="28"/>
  <c r="E44" i="28"/>
  <c r="S24" i="28"/>
  <c r="S20" i="28"/>
  <c r="J41" i="28" l="1"/>
  <c r="G45" i="28"/>
  <c r="H42" i="28"/>
  <c r="K29" i="28"/>
  <c r="K30" i="28"/>
  <c r="J40" i="28"/>
  <c r="J42" i="28"/>
  <c r="J44" i="28"/>
  <c r="J47" i="28"/>
  <c r="J43" i="28"/>
  <c r="J37" i="28"/>
  <c r="J48" i="28"/>
  <c r="J45" i="28"/>
  <c r="J38" i="28"/>
  <c r="J46" i="28"/>
  <c r="J39" i="28"/>
  <c r="G42" i="28"/>
  <c r="G41" i="28"/>
  <c r="G37" i="28"/>
  <c r="G47" i="28"/>
  <c r="G48" i="28"/>
  <c r="G38" i="28"/>
  <c r="G40" i="28"/>
  <c r="G43" i="28"/>
  <c r="G39" i="28"/>
  <c r="G46" i="28"/>
  <c r="G44" i="28"/>
  <c r="H47" i="28"/>
  <c r="H37" i="28"/>
  <c r="H45" i="28"/>
  <c r="H48" i="28"/>
  <c r="H44" i="28"/>
  <c r="H46" i="28"/>
  <c r="H41" i="28"/>
  <c r="H43" i="28"/>
  <c r="H40" i="28"/>
  <c r="H39" i="28"/>
  <c r="H38" i="28"/>
  <c r="Q45" i="28"/>
  <c r="Q37" i="28"/>
  <c r="Q41" i="28"/>
  <c r="Q47" i="28"/>
  <c r="Q48" i="28"/>
  <c r="Q38" i="28"/>
  <c r="Q42" i="28"/>
  <c r="Q39" i="28"/>
  <c r="Q40" i="28"/>
  <c r="Q43" i="28"/>
  <c r="Q44" i="28"/>
  <c r="Q46" i="28"/>
  <c r="I30" i="28"/>
  <c r="I29" i="28"/>
  <c r="S29" i="28"/>
  <c r="S30" i="28"/>
  <c r="K48" i="28" l="1"/>
  <c r="K41" i="28"/>
  <c r="K45" i="28"/>
  <c r="K40" i="28"/>
  <c r="K47" i="28"/>
  <c r="K46" i="28"/>
  <c r="K44" i="28"/>
  <c r="K38" i="28"/>
  <c r="K42" i="28"/>
  <c r="K37" i="28"/>
  <c r="K43" i="28"/>
  <c r="K39" i="28"/>
  <c r="I48" i="28"/>
  <c r="I38" i="28"/>
  <c r="I47" i="28"/>
  <c r="I37" i="28"/>
  <c r="I42" i="28"/>
  <c r="I41" i="28"/>
  <c r="I43" i="28"/>
  <c r="I45" i="28"/>
  <c r="I40" i="28"/>
  <c r="I39" i="28"/>
  <c r="I44" i="28"/>
  <c r="I46" i="28"/>
  <c r="S37" i="28"/>
  <c r="V37" i="28" s="1"/>
  <c r="S47" i="28"/>
  <c r="V47" i="28" s="1"/>
  <c r="S43" i="28"/>
  <c r="V43" i="28" s="1"/>
  <c r="S48" i="28"/>
  <c r="V48" i="28" s="1"/>
  <c r="S45" i="28"/>
  <c r="V45" i="28" s="1"/>
  <c r="S46" i="28"/>
  <c r="V46" i="28" s="1"/>
  <c r="S44" i="28"/>
  <c r="V44" i="28" s="1"/>
  <c r="S42" i="28"/>
  <c r="V42" i="28" s="1"/>
  <c r="S39" i="28"/>
  <c r="V39" i="28" s="1"/>
  <c r="S41" i="28"/>
  <c r="V41" i="28" s="1"/>
  <c r="S40" i="28"/>
  <c r="V40" i="28" s="1"/>
  <c r="S38" i="28"/>
  <c r="V38" i="28" s="1"/>
</calcChain>
</file>

<file path=xl/sharedStrings.xml><?xml version="1.0" encoding="utf-8"?>
<sst xmlns="http://schemas.openxmlformats.org/spreadsheetml/2006/main" count="1020" uniqueCount="301">
  <si>
    <t>Region</t>
  </si>
  <si>
    <t>Human Development Index 2022</t>
  </si>
  <si>
    <t>Somalia</t>
  </si>
  <si>
    <t>South Sudan</t>
  </si>
  <si>
    <t>Central African Republic</t>
  </si>
  <si>
    <t>Niger</t>
  </si>
  <si>
    <t>Chad</t>
  </si>
  <si>
    <t>Mali</t>
  </si>
  <si>
    <t>Burundi</t>
  </si>
  <si>
    <t>Yemen</t>
  </si>
  <si>
    <t>Burkina Faso</t>
  </si>
  <si>
    <t>Sierra Leone</t>
  </si>
  <si>
    <t>Mozambique</t>
  </si>
  <si>
    <t>Afghanistan</t>
  </si>
  <si>
    <t>Guinea</t>
  </si>
  <si>
    <t>DR Congo</t>
  </si>
  <si>
    <t>Guinea Bissau</t>
  </si>
  <si>
    <t>Madagascar</t>
  </si>
  <si>
    <t>Liberia</t>
  </si>
  <si>
    <t>Ethiopia</t>
  </si>
  <si>
    <t>Eritrea</t>
  </si>
  <si>
    <t>Gambia</t>
  </si>
  <si>
    <t>Benin</t>
  </si>
  <si>
    <t>Malawi</t>
  </si>
  <si>
    <t>Djibouti</t>
  </si>
  <si>
    <t>Sudan</t>
  </si>
  <si>
    <t>Senegal</t>
  </si>
  <si>
    <t>Lesotho</t>
  </si>
  <si>
    <t>Tanzania</t>
  </si>
  <si>
    <t>Ivory Coast</t>
  </si>
  <si>
    <t>Pakistan</t>
  </si>
  <si>
    <t>Mauritania</t>
  </si>
  <si>
    <t>Togo</t>
  </si>
  <si>
    <t>Nigeria</t>
  </si>
  <si>
    <t>Rwanda</t>
  </si>
  <si>
    <t>Zimbabwe</t>
  </si>
  <si>
    <t>Uganda</t>
  </si>
  <si>
    <t>Haiti</t>
  </si>
  <si>
    <t>Syria</t>
  </si>
  <si>
    <t>Solomon Islands</t>
  </si>
  <si>
    <t>Timor Leste</t>
  </si>
  <si>
    <t>Papua New Guinea</t>
  </si>
  <si>
    <t>Zambia</t>
  </si>
  <si>
    <t>Comoros</t>
  </si>
  <si>
    <t>Cameroon</t>
  </si>
  <si>
    <t>Angola</t>
  </si>
  <si>
    <t>Republic of the Congo</t>
  </si>
  <si>
    <t>Cambodia</t>
  </si>
  <si>
    <t>Nepal</t>
  </si>
  <si>
    <t>Kenya</t>
  </si>
  <si>
    <t>Ghana</t>
  </si>
  <si>
    <t>Myanmar</t>
  </si>
  <si>
    <t>Eswatini</t>
  </si>
  <si>
    <t>Namibia</t>
  </si>
  <si>
    <t>Sao Tome and Principe</t>
  </si>
  <si>
    <t>Vanuatu</t>
  </si>
  <si>
    <t>Laos</t>
  </si>
  <si>
    <t>Honduras</t>
  </si>
  <si>
    <t>Kiribati</t>
  </si>
  <si>
    <t>Guatemala</t>
  </si>
  <si>
    <t>Micronesia</t>
  </si>
  <si>
    <t>India</t>
  </si>
  <si>
    <t>Equatorial Guinea</t>
  </si>
  <si>
    <t>Tuvalu</t>
  </si>
  <si>
    <t>Cape Verde</t>
  </si>
  <si>
    <t>Nicaragua</t>
  </si>
  <si>
    <t>Bangladesh</t>
  </si>
  <si>
    <t>Iraq</t>
  </si>
  <si>
    <t>El Salvador</t>
  </si>
  <si>
    <t>Tajikistan</t>
  </si>
  <si>
    <t>Bhutan</t>
  </si>
  <si>
    <t>Suriname</t>
  </si>
  <si>
    <t>Gabon</t>
  </si>
  <si>
    <t>Nauru</t>
  </si>
  <si>
    <t>Morocco</t>
  </si>
  <si>
    <t>Bolivia</t>
  </si>
  <si>
    <t>Venezuela</t>
  </si>
  <si>
    <t>Belize</t>
  </si>
  <si>
    <t>Kyrgyzstan</t>
  </si>
  <si>
    <t>Samoa</t>
  </si>
  <si>
    <t>Jamaica</t>
  </si>
  <si>
    <t>Botswana</t>
  </si>
  <si>
    <t>Philippines</t>
  </si>
  <si>
    <t>Indonesia</t>
  </si>
  <si>
    <t>Palestine</t>
  </si>
  <si>
    <t>South Africa</t>
  </si>
  <si>
    <t>Lebanon</t>
  </si>
  <si>
    <t>Saint Lucia</t>
  </si>
  <si>
    <t>Vietnam</t>
  </si>
  <si>
    <t>Uzbekistan</t>
  </si>
  <si>
    <t>Egypt</t>
  </si>
  <si>
    <t>Fiji</t>
  </si>
  <si>
    <t>Paraguay</t>
  </si>
  <si>
    <t>Marshall Islands</t>
  </si>
  <si>
    <t>Tunisia</t>
  </si>
  <si>
    <t>Ukraine</t>
  </si>
  <si>
    <t>Jordan</t>
  </si>
  <si>
    <t>Tonga</t>
  </si>
  <si>
    <t>Dominica</t>
  </si>
  <si>
    <t>Mongolia</t>
  </si>
  <si>
    <t>Guyana</t>
  </si>
  <si>
    <t>Turkmenistan</t>
  </si>
  <si>
    <t>Algeria</t>
  </si>
  <si>
    <t>Libya</t>
  </si>
  <si>
    <t>Colombia</t>
  </si>
  <si>
    <t>Azerbaijan</t>
  </si>
  <si>
    <t>Brazil</t>
  </si>
  <si>
    <t>Peru</t>
  </si>
  <si>
    <t>Maldives</t>
  </si>
  <si>
    <t>Moldova</t>
  </si>
  <si>
    <t>Cuba</t>
  </si>
  <si>
    <t>North Macedonia</t>
  </si>
  <si>
    <t>Ecuador</t>
  </si>
  <si>
    <t>Dominican Republic</t>
  </si>
  <si>
    <t>Saint Vincent and the Grenadines</t>
  </si>
  <si>
    <t>Bosnia and Herzegovina</t>
  </si>
  <si>
    <t>Sri Lanka</t>
  </si>
  <si>
    <t>Iran</t>
  </si>
  <si>
    <t>Mexico</t>
  </si>
  <si>
    <t>Armenia</t>
  </si>
  <si>
    <t>China</t>
  </si>
  <si>
    <t>Albania</t>
  </si>
  <si>
    <t>Grenada</t>
  </si>
  <si>
    <t>Mauritius</t>
  </si>
  <si>
    <t>Palau</t>
  </si>
  <si>
    <t>Bulgaria</t>
  </si>
  <si>
    <t>Belarus</t>
  </si>
  <si>
    <t>Seychelles</t>
  </si>
  <si>
    <t>Kazakhstan</t>
  </si>
  <si>
    <t>Thailand</t>
  </si>
  <si>
    <t>Serbia</t>
  </si>
  <si>
    <t>Costa Rica</t>
  </si>
  <si>
    <t>Malaysia</t>
  </si>
  <si>
    <t>Barbados</t>
  </si>
  <si>
    <t>Georgia</t>
  </si>
  <si>
    <t>Trinidad and Tobago</t>
  </si>
  <si>
    <t>Oman</t>
  </si>
  <si>
    <t>Panama</t>
  </si>
  <si>
    <t>Bahamas</t>
  </si>
  <si>
    <t>Russia</t>
  </si>
  <si>
    <t>Brunei</t>
  </si>
  <si>
    <t>Antigua and Barbuda</t>
  </si>
  <si>
    <t>Romania</t>
  </si>
  <si>
    <t>Uruguay</t>
  </si>
  <si>
    <t>Saint Kitts and Nevis</t>
  </si>
  <si>
    <t>Montenegro</t>
  </si>
  <si>
    <t>Kuwait</t>
  </si>
  <si>
    <t>Argentina</t>
  </si>
  <si>
    <t>Hungary</t>
  </si>
  <si>
    <t>Turkey</t>
  </si>
  <si>
    <t>Slovakia</t>
  </si>
  <si>
    <t>Chile</t>
  </si>
  <si>
    <t>San Marino</t>
  </si>
  <si>
    <t>Portugal</t>
  </si>
  <si>
    <t>Qatar</t>
  </si>
  <si>
    <t>Saudi Arabia</t>
  </si>
  <si>
    <t>Croatia</t>
  </si>
  <si>
    <t>Lithuania</t>
  </si>
  <si>
    <t>Latvia</t>
  </si>
  <si>
    <t>Poland</t>
  </si>
  <si>
    <t>Andorra</t>
  </si>
  <si>
    <t>Bahrain</t>
  </si>
  <si>
    <t>Greece</t>
  </si>
  <si>
    <t>Czech Republic</t>
  </si>
  <si>
    <t>Estonia</t>
  </si>
  <si>
    <t>Italy</t>
  </si>
  <si>
    <t>Cyprus</t>
  </si>
  <si>
    <t>France</t>
  </si>
  <si>
    <t>Spain</t>
  </si>
  <si>
    <t>Malta</t>
  </si>
  <si>
    <t>Israel</t>
  </si>
  <si>
    <t>Japan</t>
  </si>
  <si>
    <t>Austria</t>
  </si>
  <si>
    <t>Slovenia</t>
  </si>
  <si>
    <t>Luxembourg</t>
  </si>
  <si>
    <t>United States</t>
  </si>
  <si>
    <t>South Korea</t>
  </si>
  <si>
    <t>Canada</t>
  </si>
  <si>
    <t>United Arab Emirates</t>
  </si>
  <si>
    <t>New Zealand</t>
  </si>
  <si>
    <t>United Kingdom</t>
  </si>
  <si>
    <t>Liechtenstein</t>
  </si>
  <si>
    <t>Finland</t>
  </si>
  <si>
    <t>Belgium</t>
  </si>
  <si>
    <t>Netherlands</t>
  </si>
  <si>
    <t>Australia</t>
  </si>
  <si>
    <t>Singapore</t>
  </si>
  <si>
    <t>Germany</t>
  </si>
  <si>
    <t>Ireland</t>
  </si>
  <si>
    <t>Sweden</t>
  </si>
  <si>
    <t>Denmark</t>
  </si>
  <si>
    <t>Hong Kong</t>
  </si>
  <si>
    <t>Iceland</t>
  </si>
  <si>
    <t>Norway</t>
  </si>
  <si>
    <t>Switzerland</t>
  </si>
  <si>
    <t>Household disposable income</t>
  </si>
  <si>
    <t>US dollars/capita, 2023</t>
  </si>
  <si>
    <t>Category</t>
  </si>
  <si>
    <t>Gross disposable income per capita of households and NPISH</t>
  </si>
  <si>
    <t>https://www.oecd.org/en/data/indicators/household-disposable-income.html?oecdcontrol-3fafbcc227-var1=USA%7CGBR%7CDEU%7CFRA%7CESP%7CITA%7CCAN%7CAUS%7CNZL%7CBEL%7CLUX%7CNLD%7CDNK%7CFIN%7CIRL%7CNOR%7CSWE%7CCHE%7CAUT</t>
  </si>
  <si>
    <t xml:space="preserve">Outputs </t>
  </si>
  <si>
    <t>No. of millionnairs</t>
  </si>
  <si>
    <t>Country</t>
  </si>
  <si>
    <t>Total Population</t>
  </si>
  <si>
    <t>Weighted Score</t>
  </si>
  <si>
    <t>% Split</t>
  </si>
  <si>
    <t>UK</t>
  </si>
  <si>
    <t>USA</t>
  </si>
  <si>
    <t>UAE</t>
  </si>
  <si>
    <t>Avg</t>
  </si>
  <si>
    <t>St Dv</t>
  </si>
  <si>
    <t xml:space="preserve">Model Weight </t>
  </si>
  <si>
    <t>Index Table</t>
  </si>
  <si>
    <t>November Travel Volume to DXB</t>
  </si>
  <si>
    <t>Tier 1</t>
  </si>
  <si>
    <t>Market</t>
  </si>
  <si>
    <t>Current Budget</t>
  </si>
  <si>
    <t>Recommended Budget</t>
  </si>
  <si>
    <t>€6,800,00</t>
  </si>
  <si>
    <t>Australia/New Zealand</t>
  </si>
  <si>
    <t>BeNe</t>
  </si>
  <si>
    <t>Nordics</t>
  </si>
  <si>
    <t>Source</t>
  </si>
  <si>
    <t>%</t>
  </si>
  <si>
    <t xml:space="preserve">Weighted Score </t>
  </si>
  <si>
    <t>Budget Split</t>
  </si>
  <si>
    <t>Great Britain</t>
  </si>
  <si>
    <t>Khazakstan</t>
  </si>
  <si>
    <t xml:space="preserve">Weight </t>
  </si>
  <si>
    <t>x</t>
  </si>
  <si>
    <t>spends per trip</t>
  </si>
  <si>
    <t>update this</t>
  </si>
  <si>
    <t>departure / population</t>
  </si>
  <si>
    <t>Taiwan</t>
  </si>
  <si>
    <t>Entity</t>
  </si>
  <si>
    <t>International tourist departures</t>
  </si>
  <si>
    <t>Cook Islands</t>
  </si>
  <si>
    <t>Czechia</t>
  </si>
  <si>
    <t>New Caledonia</t>
  </si>
  <si>
    <t>Puerto Rico</t>
  </si>
  <si>
    <t>https://www.ons.gov.uk/peoplepopulationandcommunity/leisureandtourism/articles/traveltrends/2023</t>
  </si>
  <si>
    <t>https://camperchamp.com.au/statistics/australia/?</t>
  </si>
  <si>
    <t>Hourly Minimum Wage</t>
  </si>
  <si>
    <t>NoOfMillionaires</t>
  </si>
  <si>
    <t>https://www.theglobaleconomy.com/rankings/population_size/</t>
  </si>
  <si>
    <t>Countries </t>
  </si>
  <si>
    <t>Population size, 2023 </t>
  </si>
  <si>
    <t>Burma</t>
  </si>
  <si>
    <t>North Korea</t>
  </si>
  <si>
    <t>Domin. Rep.</t>
  </si>
  <si>
    <t>Papua N.G.</t>
  </si>
  <si>
    <t>UA Emirates</t>
  </si>
  <si>
    <t>R. of Congo</t>
  </si>
  <si>
    <t>C.A. Republic</t>
  </si>
  <si>
    <t>Bosnia &amp; Herz.</t>
  </si>
  <si>
    <t>G.-Bissau</t>
  </si>
  <si>
    <t>Eq. Guinea</t>
  </si>
  <si>
    <t>Tr.&amp;Tobago</t>
  </si>
  <si>
    <t>Swaziland</t>
  </si>
  <si>
    <t>Solomon Isl.</t>
  </si>
  <si>
    <t>Macao</t>
  </si>
  <si>
    <t>N. Caledonia</t>
  </si>
  <si>
    <t>S.T.&amp;Principe</t>
  </si>
  <si>
    <t>Aruba</t>
  </si>
  <si>
    <t>St. Vincent &amp; ...</t>
  </si>
  <si>
    <t>Ant.&amp; Barb.</t>
  </si>
  <si>
    <t>Bermuda</t>
  </si>
  <si>
    <t>Faroe Isl.</t>
  </si>
  <si>
    <t>Monaco</t>
  </si>
  <si>
    <t>Gibraltar</t>
  </si>
  <si>
    <t>Inflation, 2023 </t>
  </si>
  <si>
    <t>High Savings/Investment</t>
  </si>
  <si>
    <t>Real Estate Ownership</t>
  </si>
  <si>
    <t>Proximity to Maldives (inverted)</t>
  </si>
  <si>
    <t>Market Tiering (based on Maldives travel volumes) - KSA &amp; UAE affinity to developer</t>
  </si>
  <si>
    <t>High Net Worth Audience volume (GWI)</t>
  </si>
  <si>
    <t>UHNWI 2026  (+$30M)</t>
  </si>
  <si>
    <t>Real Estate Ownership for Investment/HNW audience</t>
  </si>
  <si>
    <t>RE ownership for investment</t>
  </si>
  <si>
    <t>GWI</t>
  </si>
  <si>
    <t>Magna Global</t>
  </si>
  <si>
    <t>Data Source</t>
  </si>
  <si>
    <t>Media Cost Benchmark CPM</t>
  </si>
  <si>
    <t>Market Tier</t>
  </si>
  <si>
    <t>City</t>
  </si>
  <si>
    <t>Khazakhstan</t>
  </si>
  <si>
    <t>Population</t>
  </si>
  <si>
    <t>Audience</t>
  </si>
  <si>
    <t>Audience ratio/pop</t>
  </si>
  <si>
    <t>Torusit Departures</t>
  </si>
  <si>
    <t>Tourist Departures to 2025 visitors ratio</t>
  </si>
  <si>
    <t>2025 Visitors</t>
  </si>
  <si>
    <t>YoY visitor growth</t>
  </si>
  <si>
    <t>Statbase</t>
  </si>
  <si>
    <t>Statista</t>
  </si>
  <si>
    <t>Outbound Trip Spends (Billion)</t>
  </si>
  <si>
    <t xml:space="preserve">IMF </t>
  </si>
  <si>
    <t>GDP per capita</t>
  </si>
  <si>
    <t>Daily Flight seating Capacity</t>
  </si>
  <si>
    <t>Aviationstack</t>
  </si>
  <si>
    <t>Brief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</si>
</sst>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[$$-540A]#,##0_ ;\-[$$-540A]#,##0\ "/>
    <numFmt numFmtId="168" formatCode="[$$-540A]#,##0.00_ ;\-[$$-540A]#,##0.00\ "/>
    <numFmt numFmtId="169" formatCode="_-[$$-409]* #,##0.00_ ;_-[$$-409]* \-#,##0.00\ ;_-[$$-409]* &quot;-&quot;??_ ;_-@_ "/>
    <numFmt numFmtId="170" formatCode="[$$-540A]#,##0.0_ ;\-[$$-540A]#,##0.0\ "/>
    <numFmt numFmtId="171" formatCode="_-[$€-2]\ * #,##0_-;\-[$€-2]\ * #,##0_-;_-[$€-2]\ * &quot;-&quot;??_-;_-@_-"/>
    <numFmt numFmtId="172" formatCode="[$$-540A]#,##0.00"/>
    <numFmt numFmtId="173" formatCode="[$$-2809]#,##0.00;\-[$$-2809]#,##0.00"/>
    <numFmt numFmtId="174" formatCode="[$$-C09]#,##0.00"/>
    <numFmt numFmtId="175" formatCode="[$$-1004]#,##0;\-[$$-1004]#,##0"/>
    <numFmt numFmtId="176" formatCode="_-[$$-C09]* #,##0_-;\-[$$-C09]* #,##0_-;_-[$$-C09]* &quot;-&quot;_-;_-@_-"/>
    <numFmt numFmtId="177" formatCode="[$€-2]\ #,##0"/>
    <numFmt numFmtId="178" formatCode="[$€-2]\ #,##0;[Red]\-[$€-2]\ #,##0"/>
    <numFmt numFmtId="179" formatCode="[$AED]\ #,##0"/>
    <numFmt numFmtId="180" formatCode="_-* #,##0.000_-;\-* #,##0.000_-;_-* &quot;-&quot;??_-;_-@_-"/>
    <numFmt numFmtId="181" formatCode="[$$-409]#,##0.00"/>
    <numFmt numFmtId="182" formatCode="[$USD]\ #,##0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i/>
      <sz val="11"/>
      <color theme="1"/>
      <name val="Aptos Narrow"/>
      <family val="2"/>
      <scheme val="minor"/>
    </font>
    <font>
      <b/>
      <sz val="11.5"/>
      <color rgb="FFFEFFFF"/>
      <name val="DM Sans"/>
    </font>
    <font>
      <sz val="11.5"/>
      <color rgb="FF000000"/>
      <name val="DM Sans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i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1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darkVertical">
        <fgColor rgb="FF5D87A1"/>
        <bgColor rgb="FF5D87A1"/>
      </patternFill>
    </fill>
    <fill>
      <patternFill patternType="darkVertical">
        <fgColor rgb="FF5D87A1"/>
        <bgColor theme="9"/>
      </patternFill>
    </fill>
    <fill>
      <patternFill patternType="darkVertical">
        <fgColor rgb="FF5D87A1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F70E8"/>
        <bgColor indexed="64"/>
      </patternFill>
    </fill>
    <fill>
      <patternFill patternType="solid">
        <fgColor rgb="FFD8D5F6"/>
        <bgColor indexed="64"/>
      </patternFill>
    </fill>
    <fill>
      <patternFill patternType="solid">
        <fgColor rgb="FFECEBFB"/>
        <bgColor indexed="64"/>
      </patternFill>
    </fill>
    <fill>
      <patternFill patternType="solid">
        <fgColor rgb="FFE5E2F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/>
      <bottom style="thin">
        <color theme="0" tint="-4.9989318521683403E-2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8" fillId="4" borderId="0" applyNumberFormat="0" applyBorder="0" applyProtection="0">
      <alignment vertical="center"/>
    </xf>
  </cellStyleXfs>
  <cellXfs count="196">
    <xf numFmtId="0" fontId="0" fillId="0" borderId="0" xfId="0"/>
    <xf numFmtId="165" fontId="0" fillId="0" borderId="0" xfId="1" applyNumberFormat="1" applyFont="1"/>
    <xf numFmtId="164" fontId="0" fillId="0" borderId="0" xfId="1" applyFont="1"/>
    <xf numFmtId="0" fontId="2" fillId="0" borderId="0" xfId="0" applyFont="1"/>
    <xf numFmtId="166" fontId="0" fillId="0" borderId="0" xfId="2" applyNumberFormat="1" applyFont="1"/>
    <xf numFmtId="3" fontId="0" fillId="0" borderId="0" xfId="0" applyNumberFormat="1"/>
    <xf numFmtId="0" fontId="0" fillId="2" borderId="0" xfId="0" applyFill="1"/>
    <xf numFmtId="0" fontId="4" fillId="3" borderId="1" xfId="0" applyFont="1" applyFill="1" applyBorder="1" applyAlignment="1">
      <alignment horizontal="left" vertical="center" wrapText="1"/>
    </xf>
    <xf numFmtId="0" fontId="3" fillId="3" borderId="2" xfId="3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9" fillId="4" borderId="4" xfId="4" applyFont="1" applyBorder="1" applyAlignment="1">
      <alignment horizontal="center" vertical="center" wrapText="1"/>
    </xf>
    <xf numFmtId="0" fontId="9" fillId="4" borderId="4" xfId="4" applyFont="1" applyBorder="1" applyAlignment="1">
      <alignment vertical="center" wrapText="1"/>
    </xf>
    <xf numFmtId="0" fontId="9" fillId="5" borderId="5" xfId="4" applyFont="1" applyFill="1" applyBorder="1" applyAlignment="1">
      <alignment vertical="center" wrapText="1"/>
    </xf>
    <xf numFmtId="167" fontId="0" fillId="0" borderId="0" xfId="1" applyNumberFormat="1" applyFont="1"/>
    <xf numFmtId="16" fontId="0" fillId="0" borderId="0" xfId="0" quotePrefix="1" applyNumberFormat="1"/>
    <xf numFmtId="0" fontId="6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2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167" fontId="0" fillId="0" borderId="0" xfId="2" applyNumberFormat="1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169" fontId="0" fillId="0" borderId="0" xfId="0" applyNumberFormat="1"/>
    <xf numFmtId="170" fontId="0" fillId="0" borderId="0" xfId="0" applyNumberFormat="1"/>
    <xf numFmtId="164" fontId="6" fillId="0" borderId="0" xfId="1" applyFont="1"/>
    <xf numFmtId="9" fontId="0" fillId="0" borderId="0" xfId="2" applyFont="1"/>
    <xf numFmtId="164" fontId="6" fillId="0" borderId="0" xfId="0" applyNumberFormat="1" applyFont="1"/>
    <xf numFmtId="168" fontId="6" fillId="0" borderId="0" xfId="0" applyNumberFormat="1" applyFont="1"/>
    <xf numFmtId="164" fontId="2" fillId="0" borderId="0" xfId="1" applyFont="1"/>
    <xf numFmtId="0" fontId="10" fillId="0" borderId="0" xfId="0" applyFont="1"/>
    <xf numFmtId="164" fontId="0" fillId="0" borderId="0" xfId="0" applyNumberFormat="1"/>
    <xf numFmtId="171" fontId="0" fillId="0" borderId="0" xfId="0" applyNumberFormat="1" applyAlignment="1">
      <alignment horizontal="center"/>
    </xf>
    <xf numFmtId="172" fontId="0" fillId="0" borderId="0" xfId="0" applyNumberFormat="1"/>
    <xf numFmtId="0" fontId="9" fillId="4" borderId="0" xfId="4" applyFont="1" applyBorder="1" applyAlignment="1">
      <alignment horizontal="center" vertical="center" wrapText="1"/>
    </xf>
    <xf numFmtId="165" fontId="0" fillId="0" borderId="0" xfId="0" applyNumberFormat="1"/>
    <xf numFmtId="164" fontId="2" fillId="2" borderId="0" xfId="1" applyFont="1" applyFill="1"/>
    <xf numFmtId="0" fontId="0" fillId="7" borderId="0" xfId="0" applyFill="1" applyAlignment="1">
      <alignment vertical="center" wrapText="1"/>
    </xf>
    <xf numFmtId="164" fontId="1" fillId="7" borderId="0" xfId="1" applyFont="1" applyFill="1"/>
    <xf numFmtId="165" fontId="0" fillId="7" borderId="0" xfId="1" applyNumberFormat="1" applyFont="1" applyFill="1"/>
    <xf numFmtId="0" fontId="0" fillId="7" borderId="0" xfId="0" applyFill="1"/>
    <xf numFmtId="164" fontId="0" fillId="7" borderId="0" xfId="1" applyFont="1" applyFill="1"/>
    <xf numFmtId="164" fontId="2" fillId="7" borderId="0" xfId="1" applyFont="1" applyFill="1"/>
    <xf numFmtId="0" fontId="0" fillId="8" borderId="0" xfId="0" applyFill="1"/>
    <xf numFmtId="165" fontId="0" fillId="8" borderId="0" xfId="1" applyNumberFormat="1" applyFont="1" applyFill="1"/>
    <xf numFmtId="164" fontId="0" fillId="8" borderId="0" xfId="1" applyFont="1" applyFill="1"/>
    <xf numFmtId="166" fontId="0" fillId="8" borderId="0" xfId="2" applyNumberFormat="1" applyFont="1" applyFill="1"/>
    <xf numFmtId="167" fontId="0" fillId="8" borderId="0" xfId="2" applyNumberFormat="1" applyFont="1" applyFill="1"/>
    <xf numFmtId="167" fontId="0" fillId="8" borderId="0" xfId="0" applyNumberFormat="1" applyFill="1"/>
    <xf numFmtId="168" fontId="0" fillId="8" borderId="0" xfId="0" applyNumberFormat="1" applyFill="1"/>
    <xf numFmtId="9" fontId="0" fillId="8" borderId="0" xfId="0" applyNumberFormat="1" applyFill="1"/>
    <xf numFmtId="169" fontId="0" fillId="8" borderId="0" xfId="0" applyNumberFormat="1" applyFill="1"/>
    <xf numFmtId="170" fontId="0" fillId="8" borderId="0" xfId="0" applyNumberFormat="1" applyFill="1"/>
    <xf numFmtId="0" fontId="6" fillId="8" borderId="0" xfId="0" applyFont="1" applyFill="1"/>
    <xf numFmtId="164" fontId="6" fillId="8" borderId="0" xfId="1" applyFont="1" applyFill="1"/>
    <xf numFmtId="176" fontId="0" fillId="0" borderId="0" xfId="1" applyNumberFormat="1" applyFont="1"/>
    <xf numFmtId="173" fontId="0" fillId="7" borderId="0" xfId="1" applyNumberFormat="1" applyFont="1" applyFill="1"/>
    <xf numFmtId="165" fontId="0" fillId="7" borderId="0" xfId="1" applyNumberFormat="1" applyFont="1" applyFill="1" applyBorder="1"/>
    <xf numFmtId="0" fontId="9" fillId="6" borderId="4" xfId="4" applyFont="1" applyFill="1" applyBorder="1" applyAlignment="1">
      <alignment horizontal="center" vertical="center" wrapText="1"/>
    </xf>
    <xf numFmtId="174" fontId="0" fillId="7" borderId="0" xfId="1" applyNumberFormat="1" applyFont="1" applyFill="1"/>
    <xf numFmtId="175" fontId="0" fillId="7" borderId="0" xfId="1" applyNumberFormat="1" applyFont="1" applyFill="1"/>
    <xf numFmtId="16" fontId="0" fillId="0" borderId="0" xfId="0" applyNumberFormat="1"/>
    <xf numFmtId="177" fontId="0" fillId="0" borderId="0" xfId="2" applyNumberFormat="1" applyFont="1"/>
    <xf numFmtId="0" fontId="11" fillId="9" borderId="0" xfId="0" applyFont="1" applyFill="1" applyAlignment="1">
      <alignment horizontal="left" vertical="center" wrapText="1" readingOrder="1"/>
    </xf>
    <xf numFmtId="0" fontId="12" fillId="10" borderId="0" xfId="0" applyFont="1" applyFill="1" applyAlignment="1">
      <alignment horizontal="left" vertical="center" wrapText="1" readingOrder="1"/>
    </xf>
    <xf numFmtId="178" fontId="12" fillId="10" borderId="0" xfId="0" applyNumberFormat="1" applyFont="1" applyFill="1" applyAlignment="1">
      <alignment horizontal="left" vertical="center" wrapText="1" readingOrder="1"/>
    </xf>
    <xf numFmtId="0" fontId="12" fillId="11" borderId="0" xfId="0" applyFont="1" applyFill="1" applyAlignment="1">
      <alignment horizontal="left" vertical="center" wrapText="1" readingOrder="1"/>
    </xf>
    <xf numFmtId="178" fontId="12" fillId="11" borderId="0" xfId="0" applyNumberFormat="1" applyFont="1" applyFill="1" applyAlignment="1">
      <alignment horizontal="left" vertical="center" wrapText="1" readingOrder="1"/>
    </xf>
    <xf numFmtId="0" fontId="12" fillId="12" borderId="0" xfId="0" applyFont="1" applyFill="1" applyAlignment="1">
      <alignment horizontal="left" vertical="center" wrapText="1" readingOrder="1"/>
    </xf>
    <xf numFmtId="178" fontId="12" fillId="12" borderId="0" xfId="0" applyNumberFormat="1" applyFont="1" applyFill="1" applyAlignment="1">
      <alignment horizontal="left" vertical="center" wrapText="1" readingOrder="1"/>
    </xf>
    <xf numFmtId="0" fontId="0" fillId="13" borderId="0" xfId="0" applyFill="1"/>
    <xf numFmtId="0" fontId="13" fillId="0" borderId="0" xfId="0" applyFont="1"/>
    <xf numFmtId="0" fontId="0" fillId="2" borderId="0" xfId="0" applyFill="1" applyAlignment="1">
      <alignment vertical="center"/>
    </xf>
    <xf numFmtId="0" fontId="14" fillId="0" borderId="0" xfId="0" applyFont="1"/>
    <xf numFmtId="16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0" xfId="2" applyNumberFormat="1" applyFont="1" applyFill="1" applyAlignment="1">
      <alignment vertical="center" wrapText="1"/>
    </xf>
    <xf numFmtId="0" fontId="2" fillId="15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9" fillId="4" borderId="0" xfId="4" applyFont="1" applyBorder="1" applyAlignment="1">
      <alignment vertical="center" wrapText="1"/>
    </xf>
    <xf numFmtId="0" fontId="2" fillId="15" borderId="0" xfId="0" applyFont="1" applyFill="1" applyAlignment="1">
      <alignment vertical="center" wrapText="1"/>
    </xf>
    <xf numFmtId="164" fontId="19" fillId="15" borderId="0" xfId="1" applyFont="1" applyFill="1" applyAlignment="1">
      <alignment vertical="center"/>
    </xf>
    <xf numFmtId="0" fontId="13" fillId="0" borderId="0" xfId="0" applyFont="1" applyAlignment="1">
      <alignment vertical="center"/>
    </xf>
    <xf numFmtId="168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164" fontId="0" fillId="0" borderId="8" xfId="1" applyFont="1" applyBorder="1" applyAlignment="1">
      <alignment vertical="center"/>
    </xf>
    <xf numFmtId="166" fontId="0" fillId="0" borderId="8" xfId="2" applyNumberFormat="1" applyFont="1" applyBorder="1" applyAlignment="1">
      <alignment vertical="center"/>
    </xf>
    <xf numFmtId="9" fontId="0" fillId="0" borderId="0" xfId="2" applyFont="1" applyAlignment="1">
      <alignment vertical="center"/>
    </xf>
    <xf numFmtId="9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164" fontId="6" fillId="0" borderId="0" xfId="1" applyFont="1" applyAlignment="1">
      <alignment vertical="center"/>
    </xf>
    <xf numFmtId="0" fontId="10" fillId="0" borderId="0" xfId="0" applyFont="1" applyAlignment="1">
      <alignment vertical="center"/>
    </xf>
    <xf numFmtId="168" fontId="10" fillId="0" borderId="0" xfId="0" applyNumberFormat="1" applyFont="1" applyAlignment="1">
      <alignment vertical="center"/>
    </xf>
    <xf numFmtId="9" fontId="10" fillId="0" borderId="0" xfId="0" applyNumberFormat="1" applyFont="1" applyAlignment="1">
      <alignment vertical="center"/>
    </xf>
    <xf numFmtId="169" fontId="10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164" fontId="17" fillId="0" borderId="0" xfId="0" applyNumberFormat="1" applyFont="1" applyAlignment="1">
      <alignment vertical="center"/>
    </xf>
    <xf numFmtId="168" fontId="6" fillId="0" borderId="0" xfId="0" applyNumberFormat="1" applyFont="1" applyAlignment="1">
      <alignment vertical="center"/>
    </xf>
    <xf numFmtId="0" fontId="20" fillId="0" borderId="0" xfId="0" applyFont="1"/>
    <xf numFmtId="0" fontId="0" fillId="16" borderId="0" xfId="0" applyFill="1"/>
    <xf numFmtId="3" fontId="0" fillId="16" borderId="0" xfId="0" applyNumberFormat="1" applyFill="1"/>
    <xf numFmtId="0" fontId="0" fillId="16" borderId="0" xfId="0" applyFill="1" applyAlignment="1">
      <alignment vertical="center"/>
    </xf>
    <xf numFmtId="0" fontId="18" fillId="16" borderId="0" xfId="0" applyFont="1" applyFill="1" applyAlignment="1">
      <alignment vertical="center"/>
    </xf>
    <xf numFmtId="0" fontId="14" fillId="16" borderId="0" xfId="0" applyFont="1" applyFill="1"/>
    <xf numFmtId="0" fontId="2" fillId="16" borderId="0" xfId="0" applyFont="1" applyFill="1" applyAlignment="1">
      <alignment vertical="center"/>
    </xf>
    <xf numFmtId="0" fontId="20" fillId="16" borderId="0" xfId="0" applyFont="1" applyFill="1"/>
    <xf numFmtId="4" fontId="0" fillId="0" borderId="0" xfId="0" applyNumberFormat="1"/>
    <xf numFmtId="0" fontId="0" fillId="0" borderId="9" xfId="0" applyBorder="1"/>
    <xf numFmtId="0" fontId="9" fillId="5" borderId="10" xfId="4" applyFont="1" applyFill="1" applyBorder="1" applyAlignment="1">
      <alignment vertical="center" wrapText="1"/>
    </xf>
    <xf numFmtId="0" fontId="0" fillId="0" borderId="10" xfId="0" applyBorder="1"/>
    <xf numFmtId="179" fontId="15" fillId="8" borderId="11" xfId="2" applyNumberFormat="1" applyFont="1" applyFill="1" applyBorder="1" applyAlignment="1">
      <alignment vertical="center"/>
    </xf>
    <xf numFmtId="0" fontId="0" fillId="0" borderId="12" xfId="0" applyBorder="1"/>
    <xf numFmtId="179" fontId="15" fillId="14" borderId="13" xfId="2" applyNumberFormat="1" applyFont="1" applyFill="1" applyBorder="1" applyAlignment="1">
      <alignment vertical="center"/>
    </xf>
    <xf numFmtId="179" fontId="0" fillId="0" borderId="14" xfId="2" applyNumberFormat="1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165" fontId="10" fillId="0" borderId="16" xfId="1" applyNumberFormat="1" applyFont="1" applyBorder="1" applyAlignment="1">
      <alignment vertical="center"/>
    </xf>
    <xf numFmtId="164" fontId="10" fillId="0" borderId="16" xfId="1" applyFont="1" applyBorder="1" applyAlignment="1">
      <alignment vertical="center"/>
    </xf>
    <xf numFmtId="0" fontId="15" fillId="0" borderId="18" xfId="0" applyFont="1" applyBorder="1" applyAlignment="1">
      <alignment vertical="center"/>
    </xf>
    <xf numFmtId="165" fontId="0" fillId="0" borderId="19" xfId="1" applyNumberFormat="1" applyFont="1" applyBorder="1" applyAlignment="1">
      <alignment vertical="center"/>
    </xf>
    <xf numFmtId="0" fontId="2" fillId="15" borderId="15" xfId="0" applyFont="1" applyFill="1" applyBorder="1" applyAlignment="1">
      <alignment vertical="center"/>
    </xf>
    <xf numFmtId="0" fontId="2" fillId="15" borderId="21" xfId="0" applyFont="1" applyFill="1" applyBorder="1" applyAlignment="1">
      <alignment vertical="center" wrapText="1"/>
    </xf>
    <xf numFmtId="0" fontId="2" fillId="15" borderId="22" xfId="0" applyFont="1" applyFill="1" applyBorder="1" applyAlignment="1">
      <alignment vertical="center" wrapText="1"/>
    </xf>
    <xf numFmtId="0" fontId="0" fillId="16" borderId="23" xfId="0" applyFill="1" applyBorder="1"/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10" fillId="0" borderId="26" xfId="0" applyFont="1" applyBorder="1" applyAlignment="1">
      <alignment vertical="center"/>
    </xf>
    <xf numFmtId="179" fontId="0" fillId="0" borderId="27" xfId="2" applyNumberFormat="1" applyFont="1" applyBorder="1" applyAlignment="1">
      <alignment vertical="center"/>
    </xf>
    <xf numFmtId="180" fontId="0" fillId="0" borderId="19" xfId="1" applyNumberFormat="1" applyFont="1" applyBorder="1" applyAlignment="1">
      <alignment vertical="center"/>
    </xf>
    <xf numFmtId="0" fontId="0" fillId="0" borderId="23" xfId="0" applyBorder="1"/>
    <xf numFmtId="165" fontId="0" fillId="0" borderId="24" xfId="1" applyNumberFormat="1" applyFont="1" applyBorder="1" applyAlignment="1">
      <alignment vertical="center"/>
    </xf>
    <xf numFmtId="165" fontId="10" fillId="0" borderId="17" xfId="1" applyNumberFormat="1" applyFont="1" applyBorder="1" applyAlignment="1">
      <alignment vertical="center"/>
    </xf>
    <xf numFmtId="165" fontId="0" fillId="0" borderId="20" xfId="1" applyNumberFormat="1" applyFont="1" applyBorder="1" applyAlignment="1">
      <alignment vertical="center"/>
    </xf>
    <xf numFmtId="0" fontId="9" fillId="4" borderId="28" xfId="4" applyFont="1" applyBorder="1" applyAlignment="1">
      <alignment horizontal="center" vertical="center" wrapText="1"/>
    </xf>
    <xf numFmtId="0" fontId="2" fillId="14" borderId="0" xfId="0" applyFont="1" applyFill="1" applyAlignment="1">
      <alignment vertical="center" wrapText="1"/>
    </xf>
    <xf numFmtId="0" fontId="15" fillId="0" borderId="12" xfId="0" applyFont="1" applyBorder="1"/>
    <xf numFmtId="10" fontId="0" fillId="0" borderId="0" xfId="2" applyNumberFormat="1" applyFont="1"/>
    <xf numFmtId="0" fontId="21" fillId="0" borderId="0" xfId="0" applyFont="1"/>
    <xf numFmtId="164" fontId="0" fillId="0" borderId="29" xfId="1" applyFont="1" applyBorder="1" applyAlignment="1">
      <alignment vertical="center"/>
    </xf>
    <xf numFmtId="165" fontId="0" fillId="0" borderId="30" xfId="1" applyNumberFormat="1" applyFont="1" applyBorder="1" applyAlignment="1">
      <alignment vertical="center"/>
    </xf>
    <xf numFmtId="1" fontId="0" fillId="0" borderId="8" xfId="1" applyNumberFormat="1" applyFont="1" applyBorder="1" applyAlignment="1">
      <alignment vertical="center"/>
    </xf>
    <xf numFmtId="1" fontId="0" fillId="0" borderId="29" xfId="1" applyNumberFormat="1" applyFont="1" applyBorder="1" applyAlignment="1">
      <alignment vertical="center"/>
    </xf>
    <xf numFmtId="3" fontId="13" fillId="0" borderId="31" xfId="0" applyNumberFormat="1" applyFont="1" applyBorder="1" applyAlignment="1">
      <alignment horizontal="right"/>
    </xf>
    <xf numFmtId="166" fontId="0" fillId="0" borderId="19" xfId="2" applyNumberFormat="1" applyFont="1" applyBorder="1" applyAlignment="1">
      <alignment vertical="center"/>
    </xf>
    <xf numFmtId="1" fontId="0" fillId="0" borderId="32" xfId="1" applyNumberFormat="1" applyFont="1" applyBorder="1" applyAlignment="1">
      <alignment vertical="center"/>
    </xf>
    <xf numFmtId="164" fontId="0" fillId="0" borderId="32" xfId="1" applyFont="1" applyBorder="1" applyAlignment="1">
      <alignment vertical="center"/>
    </xf>
    <xf numFmtId="165" fontId="0" fillId="0" borderId="33" xfId="1" applyNumberFormat="1" applyFont="1" applyBorder="1" applyAlignment="1">
      <alignment vertical="center"/>
    </xf>
    <xf numFmtId="164" fontId="0" fillId="0" borderId="19" xfId="1" applyFont="1" applyBorder="1" applyAlignment="1">
      <alignment vertical="center"/>
    </xf>
    <xf numFmtId="3" fontId="0" fillId="0" borderId="0" xfId="0" applyNumberFormat="1" applyAlignment="1">
      <alignment vertical="center"/>
    </xf>
    <xf numFmtId="166" fontId="10" fillId="0" borderId="16" xfId="1" applyNumberFormat="1" applyFont="1" applyBorder="1" applyAlignment="1">
      <alignment vertical="center"/>
    </xf>
    <xf numFmtId="9" fontId="0" fillId="0" borderId="8" xfId="2" applyFont="1" applyBorder="1" applyAlignment="1">
      <alignment vertical="center"/>
    </xf>
    <xf numFmtId="166" fontId="0" fillId="0" borderId="0" xfId="2" applyNumberFormat="1" applyFont="1" applyAlignment="1">
      <alignment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 wrapText="1"/>
    </xf>
    <xf numFmtId="164" fontId="22" fillId="0" borderId="0" xfId="1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0" fillId="0" borderId="23" xfId="0" applyBorder="1" applyAlignment="1">
      <alignment vertical="center"/>
    </xf>
    <xf numFmtId="181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0" fontId="2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16" borderId="0" xfId="0" applyFont="1" applyFill="1" applyAlignment="1">
      <alignment vertical="center"/>
    </xf>
    <xf numFmtId="0" fontId="20" fillId="16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1" fontId="19" fillId="15" borderId="0" xfId="1" applyNumberFormat="1" applyFont="1" applyFill="1" applyAlignment="1">
      <alignment vertical="center"/>
    </xf>
    <xf numFmtId="164" fontId="0" fillId="0" borderId="28" xfId="1" applyFont="1" applyBorder="1" applyAlignment="1">
      <alignment vertical="center"/>
    </xf>
    <xf numFmtId="180" fontId="0" fillId="0" borderId="28" xfId="1" applyNumberFormat="1" applyFont="1" applyBorder="1" applyAlignment="1">
      <alignment vertical="center"/>
    </xf>
    <xf numFmtId="181" fontId="0" fillId="0" borderId="28" xfId="1" applyNumberFormat="1" applyFont="1" applyBorder="1" applyAlignment="1">
      <alignment vertical="center"/>
    </xf>
    <xf numFmtId="165" fontId="0" fillId="0" borderId="28" xfId="1" applyNumberFormat="1" applyFont="1" applyBorder="1" applyAlignment="1">
      <alignment vertical="center"/>
    </xf>
    <xf numFmtId="179" fontId="2" fillId="7" borderId="0" xfId="2" applyNumberFormat="1" applyFont="1" applyFill="1" applyAlignment="1">
      <alignment vertical="center"/>
    </xf>
    <xf numFmtId="179" fontId="2" fillId="14" borderId="0" xfId="2" applyNumberFormat="1" applyFont="1" applyFill="1" applyAlignment="1">
      <alignment vertical="center"/>
    </xf>
    <xf numFmtId="179" fontId="0" fillId="0" borderId="0" xfId="2" applyNumberFormat="1" applyFont="1" applyAlignment="1">
      <alignment vertical="center"/>
    </xf>
    <xf numFmtId="0" fontId="24" fillId="0" borderId="15" xfId="0" applyFont="1" applyBorder="1" applyAlignment="1">
      <alignment vertical="center"/>
    </xf>
    <xf numFmtId="164" fontId="10" fillId="0" borderId="21" xfId="1" applyFont="1" applyBorder="1" applyAlignment="1">
      <alignment vertical="center"/>
    </xf>
    <xf numFmtId="166" fontId="10" fillId="0" borderId="21" xfId="1" applyNumberFormat="1" applyFont="1" applyBorder="1" applyAlignment="1">
      <alignment vertical="center"/>
    </xf>
    <xf numFmtId="181" fontId="10" fillId="0" borderId="21" xfId="1" applyNumberFormat="1" applyFont="1" applyBorder="1" applyAlignment="1">
      <alignment vertical="center"/>
    </xf>
    <xf numFmtId="164" fontId="10" fillId="0" borderId="22" xfId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165" fontId="0" fillId="0" borderId="34" xfId="1" applyNumberFormat="1" applyFont="1" applyBorder="1" applyAlignment="1">
      <alignment vertical="center"/>
    </xf>
    <xf numFmtId="0" fontId="2" fillId="15" borderId="0" xfId="0" applyFont="1" applyFill="1" applyAlignment="1">
      <alignment horizontal="center" vertical="center" wrapText="1"/>
    </xf>
    <xf numFmtId="10" fontId="0" fillId="0" borderId="0" xfId="0" applyNumberFormat="1" applyAlignment="1">
      <alignment vertical="center"/>
    </xf>
    <xf numFmtId="2" fontId="0" fillId="0" borderId="0" xfId="2" applyNumberFormat="1" applyFont="1" applyAlignment="1">
      <alignment vertical="center"/>
    </xf>
    <xf numFmtId="182" fontId="0" fillId="0" borderId="0" xfId="2" applyNumberFormat="1" applyFont="1" applyAlignment="1">
      <alignment vertical="center"/>
    </xf>
    <xf numFmtId="182" fontId="0" fillId="0" borderId="0" xfId="0" applyNumberFormat="1" applyAlignment="1">
      <alignment vertical="center"/>
    </xf>
    <xf numFmtId="182" fontId="10" fillId="0" borderId="21" xfId="1" applyNumberFormat="1" applyFont="1" applyBorder="1" applyAlignment="1">
      <alignment vertical="center"/>
    </xf>
    <xf numFmtId="0" fontId="9" fillId="4" borderId="4" xfId="4" applyFont="1" applyBorder="1" applyAlignment="1">
      <alignment horizontal="center" vertical="center" wrapText="1"/>
    </xf>
    <xf numFmtId="0" fontId="9" fillId="4" borderId="6" xfId="4" applyFont="1" applyBorder="1" applyAlignment="1">
      <alignment horizontal="center" vertical="center" wrapText="1"/>
    </xf>
    <xf numFmtId="0" fontId="9" fillId="4" borderId="7" xfId="4" applyFont="1" applyBorder="1" applyAlignment="1">
      <alignment horizontal="center" vertical="center" wrapText="1"/>
    </xf>
  </cellXfs>
  <cellStyles count="5">
    <cellStyle name="Comma" xfId="1" builtinId="3"/>
    <cellStyle name="HeaderStyle" xfId="4" xr:uid="{48C5C148-A6AA-4236-9335-9F8F3D49BD89}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heglobaleconomy.com/Niger/Inflation/" TargetMode="External"/><Relationship Id="rId21" Type="http://schemas.openxmlformats.org/officeDocument/2006/relationships/hyperlink" Target="https://www.theglobaleconomy.com/Angola/Inflation/" TargetMode="External"/><Relationship Id="rId42" Type="http://schemas.openxmlformats.org/officeDocument/2006/relationships/hyperlink" Target="https://www.theglobaleconomy.com/Kiribati/Inflation/" TargetMode="External"/><Relationship Id="rId63" Type="http://schemas.openxmlformats.org/officeDocument/2006/relationships/hyperlink" Target="https://www.theglobaleconomy.com/Jamaica/Inflation/" TargetMode="External"/><Relationship Id="rId84" Type="http://schemas.openxmlformats.org/officeDocument/2006/relationships/hyperlink" Target="https://www.theglobaleconomy.com/Norway/Inflation/" TargetMode="External"/><Relationship Id="rId138" Type="http://schemas.openxmlformats.org/officeDocument/2006/relationships/hyperlink" Target="https://www.theglobaleconomy.com/Papua-New-Guinea/Inflation/" TargetMode="External"/><Relationship Id="rId159" Type="http://schemas.openxmlformats.org/officeDocument/2006/relationships/hyperlink" Target="https://www.theglobaleconomy.com/Seychelles/Inflation/" TargetMode="External"/><Relationship Id="rId107" Type="http://schemas.openxmlformats.org/officeDocument/2006/relationships/hyperlink" Target="https://www.theglobaleconomy.com/Saint-Lucia/Inflation/" TargetMode="External"/><Relationship Id="rId11" Type="http://schemas.openxmlformats.org/officeDocument/2006/relationships/hyperlink" Target="https://www.theglobaleconomy.com/Ethiopia/Inflation/" TargetMode="External"/><Relationship Id="rId32" Type="http://schemas.openxmlformats.org/officeDocument/2006/relationships/hyperlink" Target="https://www.theglobaleconomy.com/Slovakia/Inflation/" TargetMode="External"/><Relationship Id="rId53" Type="http://schemas.openxmlformats.org/officeDocument/2006/relationships/hyperlink" Target="https://www.theglobaleconomy.com/Austria/Inflation/" TargetMode="External"/><Relationship Id="rId74" Type="http://schemas.openxmlformats.org/officeDocument/2006/relationships/hyperlink" Target="https://www.theglobaleconomy.com/Namibia/Inflation/" TargetMode="External"/><Relationship Id="rId128" Type="http://schemas.openxmlformats.org/officeDocument/2006/relationships/hyperlink" Target="https://www.theglobaleconomy.com/Central-African-Republic/Inflation/" TargetMode="External"/><Relationship Id="rId149" Type="http://schemas.openxmlformats.org/officeDocument/2006/relationships/hyperlink" Target="https://www.theglobaleconomy.com/Djibouti/Inflation/" TargetMode="External"/><Relationship Id="rId5" Type="http://schemas.openxmlformats.org/officeDocument/2006/relationships/hyperlink" Target="https://www.theglobaleconomy.com/Iran/Inflation/" TargetMode="External"/><Relationship Id="rId95" Type="http://schemas.openxmlformats.org/officeDocument/2006/relationships/hyperlink" Target="https://www.theglobaleconomy.com/Brazil/Inflation/" TargetMode="External"/><Relationship Id="rId22" Type="http://schemas.openxmlformats.org/officeDocument/2006/relationships/hyperlink" Target="https://www.theglobaleconomy.com/Moldova/Inflation/" TargetMode="External"/><Relationship Id="rId43" Type="http://schemas.openxmlformats.org/officeDocument/2006/relationships/hyperlink" Target="https://www.theglobaleconomy.com/Tunisia/Inflation/" TargetMode="External"/><Relationship Id="rId64" Type="http://schemas.openxmlformats.org/officeDocument/2006/relationships/hyperlink" Target="https://www.theglobaleconomy.com/Peru/Inflation/" TargetMode="External"/><Relationship Id="rId118" Type="http://schemas.openxmlformats.org/officeDocument/2006/relationships/hyperlink" Target="https://www.theglobaleconomy.com/Gabon/Inflation/" TargetMode="External"/><Relationship Id="rId139" Type="http://schemas.openxmlformats.org/officeDocument/2006/relationships/hyperlink" Target="https://www.theglobaleconomy.com/Saudi-Arabia/Inflation/" TargetMode="External"/><Relationship Id="rId80" Type="http://schemas.openxmlformats.org/officeDocument/2006/relationships/hyperlink" Target="https://www.theglobaleconomy.com/Australia/Inflation/" TargetMode="External"/><Relationship Id="rId85" Type="http://schemas.openxmlformats.org/officeDocument/2006/relationships/hyperlink" Target="https://www.theglobaleconomy.com/Uganda/Inflation/" TargetMode="External"/><Relationship Id="rId150" Type="http://schemas.openxmlformats.org/officeDocument/2006/relationships/hyperlink" Target="https://www.theglobaleconomy.com/Panama/Inflation/" TargetMode="External"/><Relationship Id="rId155" Type="http://schemas.openxmlformats.org/officeDocument/2006/relationships/hyperlink" Target="https://www.theglobaleconomy.com/Macao/Inflation/" TargetMode="External"/><Relationship Id="rId12" Type="http://schemas.openxmlformats.org/officeDocument/2006/relationships/hyperlink" Target="https://www.theglobaleconomy.com/Malawi/Inflation/" TargetMode="External"/><Relationship Id="rId17" Type="http://schemas.openxmlformats.org/officeDocument/2006/relationships/hyperlink" Target="https://www.theglobaleconomy.com/Hungary/Inflation/" TargetMode="External"/><Relationship Id="rId33" Type="http://schemas.openxmlformats.org/officeDocument/2006/relationships/hyperlink" Target="https://www.theglobaleconomy.com/Romania/Inflation/" TargetMode="External"/><Relationship Id="rId38" Type="http://schemas.openxmlformats.org/officeDocument/2006/relationships/hyperlink" Target="https://www.theglobaleconomy.com/Barbados/Inflation/" TargetMode="External"/><Relationship Id="rId59" Type="http://schemas.openxmlformats.org/officeDocument/2006/relationships/hyperlink" Target="https://www.theglobaleconomy.com/Mauritius/Inflation/" TargetMode="External"/><Relationship Id="rId103" Type="http://schemas.openxmlformats.org/officeDocument/2006/relationships/hyperlink" Target="https://www.theglobaleconomy.com/Republic-of-the-Congo/Inflation/" TargetMode="External"/><Relationship Id="rId108" Type="http://schemas.openxmlformats.org/officeDocument/2006/relationships/hyperlink" Target="https://www.theglobaleconomy.com/USA/Inflation/" TargetMode="External"/><Relationship Id="rId124" Type="http://schemas.openxmlformats.org/officeDocument/2006/relationships/hyperlink" Target="https://www.theglobaleconomy.com/Denmark/Inflation/" TargetMode="External"/><Relationship Id="rId129" Type="http://schemas.openxmlformats.org/officeDocument/2006/relationships/hyperlink" Target="https://www.theglobaleconomy.com/Qatar/Inflation/" TargetMode="External"/><Relationship Id="rId54" Type="http://schemas.openxmlformats.org/officeDocument/2006/relationships/hyperlink" Target="https://www.theglobaleconomy.com/Guinea/Inflation/" TargetMode="External"/><Relationship Id="rId70" Type="http://schemas.openxmlformats.org/officeDocument/2006/relationships/hyperlink" Target="https://www.theglobaleconomy.com/Morocco/Inflation/" TargetMode="External"/><Relationship Id="rId75" Type="http://schemas.openxmlformats.org/officeDocument/2006/relationships/hyperlink" Target="https://www.theglobaleconomy.com/Palestine/Inflation/" TargetMode="External"/><Relationship Id="rId91" Type="http://schemas.openxmlformats.org/officeDocument/2006/relationships/hyperlink" Target="https://www.theglobaleconomy.com/France/Inflation/" TargetMode="External"/><Relationship Id="rId96" Type="http://schemas.openxmlformats.org/officeDocument/2006/relationships/hyperlink" Target="https://www.theglobaleconomy.com/Paraguay/Inflation/" TargetMode="External"/><Relationship Id="rId140" Type="http://schemas.openxmlformats.org/officeDocument/2006/relationships/hyperlink" Target="https://www.theglobaleconomy.com/Ecuador/Inflation/" TargetMode="External"/><Relationship Id="rId145" Type="http://schemas.openxmlformats.org/officeDocument/2006/relationships/hyperlink" Target="https://www.theglobaleconomy.com/Mali/Inflation/" TargetMode="External"/><Relationship Id="rId1" Type="http://schemas.openxmlformats.org/officeDocument/2006/relationships/hyperlink" Target="https://www.theglobaleconomy.com/Lebanon/Inflation/" TargetMode="External"/><Relationship Id="rId6" Type="http://schemas.openxmlformats.org/officeDocument/2006/relationships/hyperlink" Target="https://www.theglobaleconomy.com/Ghana/Inflation/" TargetMode="External"/><Relationship Id="rId23" Type="http://schemas.openxmlformats.org/officeDocument/2006/relationships/hyperlink" Target="https://www.theglobaleconomy.com/Palau/Inflation/" TargetMode="External"/><Relationship Id="rId28" Type="http://schemas.openxmlformats.org/officeDocument/2006/relationships/hyperlink" Target="https://www.theglobaleconomy.com/Zambia/Inflation/" TargetMode="External"/><Relationship Id="rId49" Type="http://schemas.openxmlformats.org/officeDocument/2006/relationships/hyperlink" Target="https://www.theglobaleconomy.com/Montenegro/Inflation/" TargetMode="External"/><Relationship Id="rId114" Type="http://schemas.openxmlformats.org/officeDocument/2006/relationships/hyperlink" Target="https://www.theglobaleconomy.com/Cape-Verde/Inflation/" TargetMode="External"/><Relationship Id="rId119" Type="http://schemas.openxmlformats.org/officeDocument/2006/relationships/hyperlink" Target="https://www.theglobaleconomy.com/Kuwait/Inflation/" TargetMode="External"/><Relationship Id="rId44" Type="http://schemas.openxmlformats.org/officeDocument/2006/relationships/hyperlink" Target="https://www.theglobaleconomy.com/Estonia/Inflation/" TargetMode="External"/><Relationship Id="rId60" Type="http://schemas.openxmlformats.org/officeDocument/2006/relationships/hyperlink" Target="https://www.theglobaleconomy.com/Mozambique/Inflation/" TargetMode="External"/><Relationship Id="rId65" Type="http://schemas.openxmlformats.org/officeDocument/2006/relationships/hyperlink" Target="https://www.theglobaleconomy.com/Tonga/Inflation/" TargetMode="External"/><Relationship Id="rId81" Type="http://schemas.openxmlformats.org/officeDocument/2006/relationships/hyperlink" Target="https://www.theglobaleconomy.com/India/Inflation/" TargetMode="External"/><Relationship Id="rId86" Type="http://schemas.openxmlformats.org/officeDocument/2006/relationships/hyperlink" Target="https://www.theglobaleconomy.com/Antigua-and-Barbuda/Inflation/" TargetMode="External"/><Relationship Id="rId130" Type="http://schemas.openxmlformats.org/officeDocument/2006/relationships/hyperlink" Target="https://www.theglobaleconomy.com/Maldives/Inflation/" TargetMode="External"/><Relationship Id="rId135" Type="http://schemas.openxmlformats.org/officeDocument/2006/relationships/hyperlink" Target="https://www.theglobaleconomy.com/Georgia/Inflation/" TargetMode="External"/><Relationship Id="rId151" Type="http://schemas.openxmlformats.org/officeDocument/2006/relationships/hyperlink" Target="https://www.theglobaleconomy.com/Thailand/Inflation/" TargetMode="External"/><Relationship Id="rId156" Type="http://schemas.openxmlformats.org/officeDocument/2006/relationships/hyperlink" Target="https://www.theglobaleconomy.com/Brunei/Inflation/" TargetMode="External"/><Relationship Id="rId13" Type="http://schemas.openxmlformats.org/officeDocument/2006/relationships/hyperlink" Target="https://www.theglobaleconomy.com/Burundi/Inflation/" TargetMode="External"/><Relationship Id="rId18" Type="http://schemas.openxmlformats.org/officeDocument/2006/relationships/hyperlink" Target="https://www.theglobaleconomy.com/Gambia/Inflation/" TargetMode="External"/><Relationship Id="rId39" Type="http://schemas.openxmlformats.org/officeDocument/2006/relationships/hyperlink" Target="https://www.theglobaleconomy.com/Bulgaria/Inflation/" TargetMode="External"/><Relationship Id="rId109" Type="http://schemas.openxmlformats.org/officeDocument/2006/relationships/hyperlink" Target="https://www.theglobaleconomy.com/Belgium/Inflation/" TargetMode="External"/><Relationship Id="rId34" Type="http://schemas.openxmlformats.org/officeDocument/2006/relationships/hyperlink" Target="https://www.theglobaleconomy.com/Mongolia/Inflation/" TargetMode="External"/><Relationship Id="rId50" Type="http://schemas.openxmlformats.org/officeDocument/2006/relationships/hyperlink" Target="https://www.theglobaleconomy.com/Sweden/Inflation/" TargetMode="External"/><Relationship Id="rId55" Type="http://schemas.openxmlformats.org/officeDocument/2006/relationships/hyperlink" Target="https://www.theglobaleconomy.com/Kenya/Inflation/" TargetMode="External"/><Relationship Id="rId76" Type="http://schemas.openxmlformats.org/officeDocument/2006/relationships/hyperlink" Target="https://www.theglobaleconomy.com/Senegal/Inflation/" TargetMode="External"/><Relationship Id="rId97" Type="http://schemas.openxmlformats.org/officeDocument/2006/relationships/hyperlink" Target="https://www.theglobaleconomy.com/Saint-Vincent-and-the-Grenadines/Inflation/" TargetMode="External"/><Relationship Id="rId104" Type="http://schemas.openxmlformats.org/officeDocument/2006/relationships/hyperlink" Target="https://www.theglobaleconomy.com/Bhutan/Inflation/" TargetMode="External"/><Relationship Id="rId120" Type="http://schemas.openxmlformats.org/officeDocument/2006/relationships/hyperlink" Target="https://www.theglobaleconomy.com/South-Korea/Inflation/" TargetMode="External"/><Relationship Id="rId125" Type="http://schemas.openxmlformats.org/officeDocument/2006/relationships/hyperlink" Target="https://www.theglobaleconomy.com/Japan/Inflation/" TargetMode="External"/><Relationship Id="rId141" Type="http://schemas.openxmlformats.org/officeDocument/2006/relationships/hyperlink" Target="https://www.theglobaleconomy.com/Cambodia/Inflation/" TargetMode="External"/><Relationship Id="rId146" Type="http://schemas.openxmlformats.org/officeDocument/2006/relationships/hyperlink" Target="https://www.theglobaleconomy.com/Switzerland/Inflation/" TargetMode="External"/><Relationship Id="rId7" Type="http://schemas.openxmlformats.org/officeDocument/2006/relationships/hyperlink" Target="https://www.theglobaleconomy.com/Haiti/Inflation/" TargetMode="External"/><Relationship Id="rId71" Type="http://schemas.openxmlformats.org/officeDocument/2006/relationships/hyperlink" Target="https://www.theglobaleconomy.com/South-Africa/Inflation/" TargetMode="External"/><Relationship Id="rId92" Type="http://schemas.openxmlformats.org/officeDocument/2006/relationships/hyperlink" Target="https://www.theglobaleconomy.com/Albania/Inflation/" TargetMode="External"/><Relationship Id="rId2" Type="http://schemas.openxmlformats.org/officeDocument/2006/relationships/hyperlink" Target="https://www.theglobaleconomy.com/Turkey/Inflation/" TargetMode="External"/><Relationship Id="rId29" Type="http://schemas.openxmlformats.org/officeDocument/2006/relationships/hyperlink" Target="https://www.theglobaleconomy.com/Chad/Inflation/" TargetMode="External"/><Relationship Id="rId24" Type="http://schemas.openxmlformats.org/officeDocument/2006/relationships/hyperlink" Target="https://www.theglobaleconomy.com/Ukraine/Inflation/" TargetMode="External"/><Relationship Id="rId40" Type="http://schemas.openxmlformats.org/officeDocument/2006/relationships/hyperlink" Target="https://www.theglobaleconomy.com/Macedonia/Inflation/" TargetMode="External"/><Relationship Id="rId45" Type="http://schemas.openxmlformats.org/officeDocument/2006/relationships/hyperlink" Target="https://www.theglobaleconomy.com/Lithuania/Inflation/" TargetMode="External"/><Relationship Id="rId66" Type="http://schemas.openxmlformats.org/officeDocument/2006/relationships/hyperlink" Target="https://www.theglobaleconomy.com/Finland/Inflation/" TargetMode="External"/><Relationship Id="rId87" Type="http://schemas.openxmlformats.org/officeDocument/2006/relationships/hyperlink" Target="https://www.theglobaleconomy.com/Botswana/Inflation/" TargetMode="External"/><Relationship Id="rId110" Type="http://schemas.openxmlformats.org/officeDocument/2006/relationships/hyperlink" Target="https://www.theglobaleconomy.com/El-Salvador/Inflation/" TargetMode="External"/><Relationship Id="rId115" Type="http://schemas.openxmlformats.org/officeDocument/2006/relationships/hyperlink" Target="https://www.theglobaleconomy.com/Indonesia/Inflation/" TargetMode="External"/><Relationship Id="rId131" Type="http://schemas.openxmlformats.org/officeDocument/2006/relationships/hyperlink" Target="https://www.theglobaleconomy.com/Guyana/Inflation/" TargetMode="External"/><Relationship Id="rId136" Type="http://schemas.openxmlformats.org/officeDocument/2006/relationships/hyperlink" Target="https://www.theglobaleconomy.com/Malaysia/Inflation/" TargetMode="External"/><Relationship Id="rId157" Type="http://schemas.openxmlformats.org/officeDocument/2006/relationships/hyperlink" Target="https://www.theglobaleconomy.com/China/Inflation/" TargetMode="External"/><Relationship Id="rId61" Type="http://schemas.openxmlformats.org/officeDocument/2006/relationships/hyperlink" Target="https://www.theglobaleconomy.com/Nepal/Inflation/" TargetMode="External"/><Relationship Id="rId82" Type="http://schemas.openxmlformats.org/officeDocument/2006/relationships/hyperlink" Target="https://www.theglobaleconomy.com/Italy/Inflation/" TargetMode="External"/><Relationship Id="rId152" Type="http://schemas.openxmlformats.org/officeDocument/2006/relationships/hyperlink" Target="https://www.theglobaleconomy.com/Oman/Inflation/" TargetMode="External"/><Relationship Id="rId19" Type="http://schemas.openxmlformats.org/officeDocument/2006/relationships/hyperlink" Target="https://www.theglobaleconomy.com/Sri-Lanka/Inflation/" TargetMode="External"/><Relationship Id="rId14" Type="http://schemas.openxmlformats.org/officeDocument/2006/relationships/hyperlink" Target="https://www.theglobaleconomy.com/Nigeria/Inflation/" TargetMode="External"/><Relationship Id="rId30" Type="http://schemas.openxmlformats.org/officeDocument/2006/relationships/hyperlink" Target="https://www.theglobaleconomy.com/Kyrgyzstan/Inflation/" TargetMode="External"/><Relationship Id="rId35" Type="http://schemas.openxmlformats.org/officeDocument/2006/relationships/hyperlink" Target="https://www.theglobaleconomy.com/Liberia/Inflation/" TargetMode="External"/><Relationship Id="rId56" Type="http://schemas.openxmlformats.org/officeDocument/2006/relationships/hyperlink" Target="https://www.theglobaleconomy.com/Chile/Inflation/" TargetMode="External"/><Relationship Id="rId77" Type="http://schemas.openxmlformats.org/officeDocument/2006/relationships/hyperlink" Target="https://www.theglobaleconomy.com/Solomon-Islands/Inflation/" TargetMode="External"/><Relationship Id="rId100" Type="http://schemas.openxmlformats.org/officeDocument/2006/relationships/hyperlink" Target="https://www.theglobaleconomy.com/Iraq/Inflation/" TargetMode="External"/><Relationship Id="rId105" Type="http://schemas.openxmlformats.org/officeDocument/2006/relationships/hyperlink" Target="https://www.theglobaleconomy.com/Dominica/Inflation/" TargetMode="External"/><Relationship Id="rId126" Type="http://schemas.openxmlformats.org/officeDocument/2006/relationships/hyperlink" Target="https://www.theglobaleconomy.com/Vietnam/Inflation/" TargetMode="External"/><Relationship Id="rId147" Type="http://schemas.openxmlformats.org/officeDocument/2006/relationships/hyperlink" Target="https://www.theglobaleconomy.com/Armenia/Inflation/" TargetMode="External"/><Relationship Id="rId8" Type="http://schemas.openxmlformats.org/officeDocument/2006/relationships/hyperlink" Target="https://www.theglobaleconomy.com/Egypt/Inflation/" TargetMode="External"/><Relationship Id="rId51" Type="http://schemas.openxmlformats.org/officeDocument/2006/relationships/hyperlink" Target="https://www.theglobaleconomy.com/Nicaragua/Inflation/" TargetMode="External"/><Relationship Id="rId72" Type="http://schemas.openxmlformats.org/officeDocument/2006/relationships/hyperlink" Target="https://www.theglobaleconomy.com/Philippines/Inflation/" TargetMode="External"/><Relationship Id="rId93" Type="http://schemas.openxmlformats.org/officeDocument/2006/relationships/hyperlink" Target="https://www.theglobaleconomy.com/Dominican-Republic/Inflation/" TargetMode="External"/><Relationship Id="rId98" Type="http://schemas.openxmlformats.org/officeDocument/2006/relationships/hyperlink" Target="https://www.theglobaleconomy.com/Trinidad-and-Tobago/Inflation/" TargetMode="External"/><Relationship Id="rId121" Type="http://schemas.openxmlformats.org/officeDocument/2006/relationships/hyperlink" Target="https://www.theglobaleconomy.com/Cyprus/Inflation/" TargetMode="External"/><Relationship Id="rId142" Type="http://schemas.openxmlformats.org/officeDocument/2006/relationships/hyperlink" Target="https://www.theglobaleconomy.com/Fiji/Inflation/" TargetMode="External"/><Relationship Id="rId3" Type="http://schemas.openxmlformats.org/officeDocument/2006/relationships/hyperlink" Target="https://www.theglobaleconomy.com/Suriname/Inflation/" TargetMode="External"/><Relationship Id="rId25" Type="http://schemas.openxmlformats.org/officeDocument/2006/relationships/hyperlink" Target="https://www.theglobaleconomy.com/Serbia/Inflation/" TargetMode="External"/><Relationship Id="rId46" Type="http://schemas.openxmlformats.org/officeDocument/2006/relationships/hyperlink" Target="https://www.theglobaleconomy.com/Latvia/Inflation/" TargetMode="External"/><Relationship Id="rId67" Type="http://schemas.openxmlformats.org/officeDocument/2006/relationships/hyperlink" Target="https://www.theglobaleconomy.com/Ireland/Inflation/" TargetMode="External"/><Relationship Id="rId116" Type="http://schemas.openxmlformats.org/officeDocument/2006/relationships/hyperlink" Target="https://www.theglobaleconomy.com/Luxembourg/Inflation/" TargetMode="External"/><Relationship Id="rId137" Type="http://schemas.openxmlformats.org/officeDocument/2006/relationships/hyperlink" Target="https://www.theglobaleconomy.com/Libya/Inflation/" TargetMode="External"/><Relationship Id="rId158" Type="http://schemas.openxmlformats.org/officeDocument/2006/relationships/hyperlink" Target="https://www.theglobaleconomy.com/Bahrain/Inflation/" TargetMode="External"/><Relationship Id="rId20" Type="http://schemas.openxmlformats.org/officeDocument/2006/relationships/hyperlink" Target="https://www.theglobaleconomy.com/Kazakhstan/Inflation/" TargetMode="External"/><Relationship Id="rId41" Type="http://schemas.openxmlformats.org/officeDocument/2006/relationships/hyperlink" Target="https://www.theglobaleconomy.com/Algeria/Inflation/" TargetMode="External"/><Relationship Id="rId62" Type="http://schemas.openxmlformats.org/officeDocument/2006/relationships/hyperlink" Target="https://www.theglobaleconomy.com/Honduras/Inflation/" TargetMode="External"/><Relationship Id="rId83" Type="http://schemas.openxmlformats.org/officeDocument/2006/relationships/hyperlink" Target="https://www.theglobaleconomy.com/Mexico/Inflation/" TargetMode="External"/><Relationship Id="rId88" Type="http://schemas.openxmlformats.org/officeDocument/2006/relationships/hyperlink" Target="https://www.theglobaleconomy.com/Malta/Inflation/" TargetMode="External"/><Relationship Id="rId111" Type="http://schemas.openxmlformats.org/officeDocument/2006/relationships/hyperlink" Target="https://www.theglobaleconomy.com/Canada/Inflation/" TargetMode="External"/><Relationship Id="rId132" Type="http://schemas.openxmlformats.org/officeDocument/2006/relationships/hyperlink" Target="https://www.theglobaleconomy.com/Benin/Inflation/" TargetMode="External"/><Relationship Id="rId153" Type="http://schemas.openxmlformats.org/officeDocument/2006/relationships/hyperlink" Target="https://www.theglobaleconomy.com/Burkina-Faso/Inflation/" TargetMode="External"/><Relationship Id="rId15" Type="http://schemas.openxmlformats.org/officeDocument/2006/relationships/hyperlink" Target="https://www.theglobaleconomy.com/Sao-Tome-and-Principe/Inflation/" TargetMode="External"/><Relationship Id="rId36" Type="http://schemas.openxmlformats.org/officeDocument/2006/relationships/hyperlink" Target="https://www.theglobaleconomy.com/Bangladesh/Inflation/" TargetMode="External"/><Relationship Id="rId57" Type="http://schemas.openxmlformats.org/officeDocument/2006/relationships/hyperlink" Target="https://www.theglobaleconomy.com/Cameroon/Inflation/" TargetMode="External"/><Relationship Id="rId106" Type="http://schemas.openxmlformats.org/officeDocument/2006/relationships/hyperlink" Target="https://www.theglobaleconomy.com/Israel/Inflation/" TargetMode="External"/><Relationship Id="rId127" Type="http://schemas.openxmlformats.org/officeDocument/2006/relationships/hyperlink" Target="https://www.theglobaleconomy.com/Bahamas/Inflation/" TargetMode="External"/><Relationship Id="rId10" Type="http://schemas.openxmlformats.org/officeDocument/2006/relationships/hyperlink" Target="https://www.theglobaleconomy.com/Pakistan/Inflation/" TargetMode="External"/><Relationship Id="rId31" Type="http://schemas.openxmlformats.org/officeDocument/2006/relationships/hyperlink" Target="https://www.theglobaleconomy.com/Czech-Republic/Inflation/" TargetMode="External"/><Relationship Id="rId52" Type="http://schemas.openxmlformats.org/officeDocument/2006/relationships/hyperlink" Target="https://www.theglobaleconomy.com/Croatia/Inflation/" TargetMode="External"/><Relationship Id="rId73" Type="http://schemas.openxmlformats.org/officeDocument/2006/relationships/hyperlink" Target="https://www.theglobaleconomy.com/Germany/Inflation/" TargetMode="External"/><Relationship Id="rId78" Type="http://schemas.openxmlformats.org/officeDocument/2006/relationships/hyperlink" Target="https://www.theglobaleconomy.com/Uruguay/Inflation/" TargetMode="External"/><Relationship Id="rId94" Type="http://schemas.openxmlformats.org/officeDocument/2006/relationships/hyperlink" Target="https://www.theglobaleconomy.com/Singapore/Inflation/" TargetMode="External"/><Relationship Id="rId99" Type="http://schemas.openxmlformats.org/officeDocument/2006/relationships/hyperlink" Target="https://www.theglobaleconomy.com/Belize/Inflation/" TargetMode="External"/><Relationship Id="rId101" Type="http://schemas.openxmlformats.org/officeDocument/2006/relationships/hyperlink" Target="https://www.theglobaleconomy.com/Ivory-Coast/Inflation/" TargetMode="External"/><Relationship Id="rId122" Type="http://schemas.openxmlformats.org/officeDocument/2006/relationships/hyperlink" Target="https://www.theglobaleconomy.com/Greece/Inflation/" TargetMode="External"/><Relationship Id="rId143" Type="http://schemas.openxmlformats.org/officeDocument/2006/relationships/hyperlink" Target="https://www.theglobaleconomy.com/Hong-Kong/Inflation/" TargetMode="External"/><Relationship Id="rId148" Type="http://schemas.openxmlformats.org/officeDocument/2006/relationships/hyperlink" Target="https://www.theglobaleconomy.com/United-Arab-Emirates/Inflation/" TargetMode="External"/><Relationship Id="rId4" Type="http://schemas.openxmlformats.org/officeDocument/2006/relationships/hyperlink" Target="https://www.theglobaleconomy.com/Sierra-Leone/Inflation/" TargetMode="External"/><Relationship Id="rId9" Type="http://schemas.openxmlformats.org/officeDocument/2006/relationships/hyperlink" Target="https://www.theglobaleconomy.com/Laos/Inflation/" TargetMode="External"/><Relationship Id="rId26" Type="http://schemas.openxmlformats.org/officeDocument/2006/relationships/hyperlink" Target="https://www.theglobaleconomy.com/Colombia/Inflation/" TargetMode="External"/><Relationship Id="rId47" Type="http://schemas.openxmlformats.org/officeDocument/2006/relationships/hyperlink" Target="https://www.theglobaleconomy.com/Azerbaijan/Inflation/" TargetMode="External"/><Relationship Id="rId68" Type="http://schemas.openxmlformats.org/officeDocument/2006/relationships/hyperlink" Target="https://www.theglobaleconomy.com/Lesotho/Inflation/" TargetMode="External"/><Relationship Id="rId89" Type="http://schemas.openxmlformats.org/officeDocument/2006/relationships/hyperlink" Target="https://www.theglobaleconomy.com/Belarus/Inflation/" TargetMode="External"/><Relationship Id="rId112" Type="http://schemas.openxmlformats.org/officeDocument/2006/relationships/hyperlink" Target="https://www.theglobaleconomy.com/Netherlands/Inflation/" TargetMode="External"/><Relationship Id="rId133" Type="http://schemas.openxmlformats.org/officeDocument/2006/relationships/hyperlink" Target="https://www.theglobaleconomy.com/Grenada/Inflation/" TargetMode="External"/><Relationship Id="rId154" Type="http://schemas.openxmlformats.org/officeDocument/2006/relationships/hyperlink" Target="https://www.theglobaleconomy.com/Costa-Rica/Inflation/" TargetMode="External"/><Relationship Id="rId16" Type="http://schemas.openxmlformats.org/officeDocument/2006/relationships/hyperlink" Target="https://www.theglobaleconomy.com/Rwanda/Inflation/" TargetMode="External"/><Relationship Id="rId37" Type="http://schemas.openxmlformats.org/officeDocument/2006/relationships/hyperlink" Target="https://www.theglobaleconomy.com/Madagascar/Inflation/" TargetMode="External"/><Relationship Id="rId58" Type="http://schemas.openxmlformats.org/officeDocument/2006/relationships/hyperlink" Target="https://www.theglobaleconomy.com/Slovenia/Inflation/" TargetMode="External"/><Relationship Id="rId79" Type="http://schemas.openxmlformats.org/officeDocument/2006/relationships/hyperlink" Target="https://www.theglobaleconomy.com/New-Zealand/Inflation/" TargetMode="External"/><Relationship Id="rId102" Type="http://schemas.openxmlformats.org/officeDocument/2006/relationships/hyperlink" Target="https://www.theglobaleconomy.com/Portugal/Inflation/" TargetMode="External"/><Relationship Id="rId123" Type="http://schemas.openxmlformats.org/officeDocument/2006/relationships/hyperlink" Target="https://www.theglobaleconomy.com/Spain/Inflation/" TargetMode="External"/><Relationship Id="rId144" Type="http://schemas.openxmlformats.org/officeDocument/2006/relationships/hyperlink" Target="https://www.theglobaleconomy.com/Jordan/Inflation/" TargetMode="External"/><Relationship Id="rId90" Type="http://schemas.openxmlformats.org/officeDocument/2006/relationships/hyperlink" Target="https://www.theglobaleconomy.com/Mauritania/Inflation/" TargetMode="External"/><Relationship Id="rId27" Type="http://schemas.openxmlformats.org/officeDocument/2006/relationships/hyperlink" Target="https://www.theglobaleconomy.com/Poland/Inflation/" TargetMode="External"/><Relationship Id="rId48" Type="http://schemas.openxmlformats.org/officeDocument/2006/relationships/hyperlink" Target="https://www.theglobaleconomy.com/Iceland/Inflation/" TargetMode="External"/><Relationship Id="rId69" Type="http://schemas.openxmlformats.org/officeDocument/2006/relationships/hyperlink" Target="https://www.theglobaleconomy.com/Bosnia-and-Herzegovina/Inflation/" TargetMode="External"/><Relationship Id="rId113" Type="http://schemas.openxmlformats.org/officeDocument/2006/relationships/hyperlink" Target="https://www.theglobaleconomy.com/Tanzania/Inflation/" TargetMode="External"/><Relationship Id="rId134" Type="http://schemas.openxmlformats.org/officeDocument/2006/relationships/hyperlink" Target="https://www.theglobaleconomy.com/Bolivia/Infl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FDF1-90BD-4F8D-989F-1247AF88AE3C}">
  <dimension ref="A1:B194"/>
  <sheetViews>
    <sheetView topLeftCell="A160" workbookViewId="0">
      <selection activeCell="G28" sqref="G28"/>
    </sheetView>
  </sheetViews>
  <sheetFormatPr baseColWidth="10" defaultColWidth="8.83203125"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0.38</v>
      </c>
    </row>
    <row r="3" spans="1:2">
      <c r="A3" t="s">
        <v>3</v>
      </c>
      <c r="B3">
        <v>0.38100000000000001</v>
      </c>
    </row>
    <row r="4" spans="1:2">
      <c r="A4" t="s">
        <v>4</v>
      </c>
      <c r="B4">
        <v>0.38700000000000001</v>
      </c>
    </row>
    <row r="5" spans="1:2">
      <c r="A5" t="s">
        <v>5</v>
      </c>
      <c r="B5">
        <v>0.39400000000000002</v>
      </c>
    </row>
    <row r="6" spans="1:2">
      <c r="A6" t="s">
        <v>6</v>
      </c>
      <c r="B6">
        <v>0.39400000000000002</v>
      </c>
    </row>
    <row r="7" spans="1:2">
      <c r="A7" t="s">
        <v>7</v>
      </c>
      <c r="B7">
        <v>0.41</v>
      </c>
    </row>
    <row r="8" spans="1:2">
      <c r="A8" t="s">
        <v>8</v>
      </c>
      <c r="B8">
        <v>0.42</v>
      </c>
    </row>
    <row r="9" spans="1:2">
      <c r="A9" t="s">
        <v>9</v>
      </c>
      <c r="B9">
        <v>0.42399999999999999</v>
      </c>
    </row>
    <row r="10" spans="1:2">
      <c r="A10" t="s">
        <v>10</v>
      </c>
      <c r="B10">
        <v>0.438</v>
      </c>
    </row>
    <row r="11" spans="1:2">
      <c r="A11" t="s">
        <v>11</v>
      </c>
      <c r="B11">
        <v>0.45800000000000002</v>
      </c>
    </row>
    <row r="12" spans="1:2">
      <c r="A12" t="s">
        <v>12</v>
      </c>
      <c r="B12">
        <v>0.46100000000000002</v>
      </c>
    </row>
    <row r="13" spans="1:2">
      <c r="A13" t="s">
        <v>13</v>
      </c>
      <c r="B13">
        <v>0.46200000000000002</v>
      </c>
    </row>
    <row r="14" spans="1:2">
      <c r="A14" t="s">
        <v>14</v>
      </c>
      <c r="B14">
        <v>0.47099999999999997</v>
      </c>
    </row>
    <row r="15" spans="1:2">
      <c r="A15" t="s">
        <v>15</v>
      </c>
      <c r="B15">
        <v>0.48099999999999998</v>
      </c>
    </row>
    <row r="16" spans="1:2">
      <c r="A16" t="s">
        <v>16</v>
      </c>
      <c r="B16">
        <v>0.48299999999999998</v>
      </c>
    </row>
    <row r="17" spans="1:2">
      <c r="A17" t="s">
        <v>17</v>
      </c>
      <c r="B17">
        <v>0.48699999999999999</v>
      </c>
    </row>
    <row r="18" spans="1:2">
      <c r="A18" t="s">
        <v>18</v>
      </c>
      <c r="B18">
        <v>0.48699999999999999</v>
      </c>
    </row>
    <row r="19" spans="1:2">
      <c r="A19" t="s">
        <v>19</v>
      </c>
      <c r="B19">
        <v>0.49199999999999999</v>
      </c>
    </row>
    <row r="20" spans="1:2">
      <c r="A20" t="s">
        <v>20</v>
      </c>
      <c r="B20">
        <v>0.49299999999999999</v>
      </c>
    </row>
    <row r="21" spans="1:2">
      <c r="A21" t="s">
        <v>21</v>
      </c>
      <c r="B21">
        <v>0.495</v>
      </c>
    </row>
    <row r="22" spans="1:2">
      <c r="A22" t="s">
        <v>22</v>
      </c>
      <c r="B22">
        <v>0.504</v>
      </c>
    </row>
    <row r="23" spans="1:2">
      <c r="A23" t="s">
        <v>23</v>
      </c>
      <c r="B23">
        <v>0.50800000000000001</v>
      </c>
    </row>
    <row r="24" spans="1:2">
      <c r="A24" t="s">
        <v>24</v>
      </c>
      <c r="B24">
        <v>0.51500000000000001</v>
      </c>
    </row>
    <row r="25" spans="1:2">
      <c r="A25" t="s">
        <v>25</v>
      </c>
      <c r="B25">
        <v>0.51600000000000001</v>
      </c>
    </row>
    <row r="26" spans="1:2">
      <c r="A26" t="s">
        <v>26</v>
      </c>
      <c r="B26">
        <v>0.51700000000000002</v>
      </c>
    </row>
    <row r="27" spans="1:2">
      <c r="A27" t="s">
        <v>27</v>
      </c>
      <c r="B27">
        <v>0.52100000000000002</v>
      </c>
    </row>
    <row r="28" spans="1:2">
      <c r="A28" t="s">
        <v>28</v>
      </c>
      <c r="B28">
        <v>0.53200000000000003</v>
      </c>
    </row>
    <row r="29" spans="1:2">
      <c r="A29" t="s">
        <v>29</v>
      </c>
      <c r="B29">
        <v>0.53400000000000003</v>
      </c>
    </row>
    <row r="30" spans="1:2">
      <c r="A30" t="s">
        <v>30</v>
      </c>
      <c r="B30">
        <v>0.54</v>
      </c>
    </row>
    <row r="31" spans="1:2">
      <c r="A31" t="s">
        <v>31</v>
      </c>
      <c r="B31">
        <v>0.54</v>
      </c>
    </row>
    <row r="32" spans="1:2">
      <c r="A32" t="s">
        <v>32</v>
      </c>
      <c r="B32">
        <v>0.54700000000000004</v>
      </c>
    </row>
    <row r="33" spans="1:2">
      <c r="A33" t="s">
        <v>33</v>
      </c>
      <c r="B33">
        <v>0.54800000000000004</v>
      </c>
    </row>
    <row r="34" spans="1:2">
      <c r="A34" t="s">
        <v>34</v>
      </c>
      <c r="B34">
        <v>0.54800000000000004</v>
      </c>
    </row>
    <row r="35" spans="1:2">
      <c r="A35" t="s">
        <v>35</v>
      </c>
      <c r="B35">
        <v>0.55000000000000004</v>
      </c>
    </row>
    <row r="36" spans="1:2">
      <c r="A36" t="s">
        <v>36</v>
      </c>
      <c r="B36">
        <v>0.55000000000000004</v>
      </c>
    </row>
    <row r="37" spans="1:2">
      <c r="A37" t="s">
        <v>37</v>
      </c>
      <c r="B37">
        <v>0.55200000000000005</v>
      </c>
    </row>
    <row r="38" spans="1:2">
      <c r="A38" t="s">
        <v>38</v>
      </c>
      <c r="B38">
        <v>0.55700000000000005</v>
      </c>
    </row>
    <row r="39" spans="1:2">
      <c r="A39" t="s">
        <v>39</v>
      </c>
      <c r="B39">
        <v>0.56200000000000006</v>
      </c>
    </row>
    <row r="40" spans="1:2">
      <c r="A40" t="s">
        <v>40</v>
      </c>
      <c r="B40">
        <v>0.56599999999999995</v>
      </c>
    </row>
    <row r="41" spans="1:2">
      <c r="A41" t="s">
        <v>41</v>
      </c>
      <c r="B41">
        <v>0.56799999999999995</v>
      </c>
    </row>
    <row r="42" spans="1:2">
      <c r="A42" t="s">
        <v>42</v>
      </c>
      <c r="B42">
        <v>0.56899999999999995</v>
      </c>
    </row>
    <row r="43" spans="1:2">
      <c r="A43" t="s">
        <v>43</v>
      </c>
      <c r="B43">
        <v>0.58599999999999997</v>
      </c>
    </row>
    <row r="44" spans="1:2">
      <c r="A44" t="s">
        <v>44</v>
      </c>
      <c r="B44">
        <v>0.58699999999999997</v>
      </c>
    </row>
    <row r="45" spans="1:2">
      <c r="A45" t="s">
        <v>45</v>
      </c>
      <c r="B45">
        <v>0.59099999999999997</v>
      </c>
    </row>
    <row r="46" spans="1:2">
      <c r="A46" t="s">
        <v>46</v>
      </c>
      <c r="B46">
        <v>0.59299999999999997</v>
      </c>
    </row>
    <row r="47" spans="1:2">
      <c r="A47" t="s">
        <v>47</v>
      </c>
      <c r="B47">
        <v>0.6</v>
      </c>
    </row>
    <row r="48" spans="1:2">
      <c r="A48" t="s">
        <v>48</v>
      </c>
      <c r="B48">
        <v>0.60099999999999998</v>
      </c>
    </row>
    <row r="49" spans="1:2">
      <c r="A49" t="s">
        <v>49</v>
      </c>
      <c r="B49">
        <v>0.60099999999999998</v>
      </c>
    </row>
    <row r="50" spans="1:2">
      <c r="A50" t="s">
        <v>50</v>
      </c>
      <c r="B50">
        <v>0.60199999999999998</v>
      </c>
    </row>
    <row r="51" spans="1:2">
      <c r="A51" t="s">
        <v>51</v>
      </c>
      <c r="B51">
        <v>0.60799999999999998</v>
      </c>
    </row>
    <row r="52" spans="1:2">
      <c r="A52" t="s">
        <v>52</v>
      </c>
      <c r="B52">
        <v>0.61</v>
      </c>
    </row>
    <row r="53" spans="1:2">
      <c r="A53" t="s">
        <v>53</v>
      </c>
      <c r="B53">
        <v>0.61</v>
      </c>
    </row>
    <row r="54" spans="1:2">
      <c r="A54" t="s">
        <v>54</v>
      </c>
      <c r="B54">
        <v>0.61299999999999999</v>
      </c>
    </row>
    <row r="55" spans="1:2">
      <c r="A55" t="s">
        <v>55</v>
      </c>
      <c r="B55">
        <v>0.61399999999999999</v>
      </c>
    </row>
    <row r="56" spans="1:2">
      <c r="A56" t="s">
        <v>56</v>
      </c>
      <c r="B56">
        <v>0.62</v>
      </c>
    </row>
    <row r="57" spans="1:2">
      <c r="A57" t="s">
        <v>57</v>
      </c>
      <c r="B57">
        <v>0.624</v>
      </c>
    </row>
    <row r="58" spans="1:2">
      <c r="A58" t="s">
        <v>58</v>
      </c>
      <c r="B58">
        <v>0.628</v>
      </c>
    </row>
    <row r="59" spans="1:2">
      <c r="A59" t="s">
        <v>59</v>
      </c>
      <c r="B59">
        <v>0.629</v>
      </c>
    </row>
    <row r="60" spans="1:2">
      <c r="A60" t="s">
        <v>60</v>
      </c>
      <c r="B60">
        <v>0.63400000000000001</v>
      </c>
    </row>
    <row r="61" spans="1:2">
      <c r="A61" t="s">
        <v>61</v>
      </c>
      <c r="B61">
        <v>0.64400000000000002</v>
      </c>
    </row>
    <row r="62" spans="1:2">
      <c r="A62" t="s">
        <v>62</v>
      </c>
      <c r="B62">
        <v>0.65</v>
      </c>
    </row>
    <row r="63" spans="1:2">
      <c r="A63" t="s">
        <v>63</v>
      </c>
      <c r="B63">
        <v>0.65300000000000002</v>
      </c>
    </row>
    <row r="64" spans="1:2">
      <c r="A64" t="s">
        <v>64</v>
      </c>
      <c r="B64">
        <v>0.66100000000000003</v>
      </c>
    </row>
    <row r="65" spans="1:2">
      <c r="A65" t="s">
        <v>65</v>
      </c>
      <c r="B65">
        <v>0.66900000000000004</v>
      </c>
    </row>
    <row r="66" spans="1:2">
      <c r="A66" t="s">
        <v>66</v>
      </c>
      <c r="B66">
        <v>0.67</v>
      </c>
    </row>
    <row r="67" spans="1:2">
      <c r="A67" t="s">
        <v>67</v>
      </c>
      <c r="B67">
        <v>0.67300000000000004</v>
      </c>
    </row>
    <row r="68" spans="1:2">
      <c r="A68" t="s">
        <v>68</v>
      </c>
      <c r="B68">
        <v>0.67400000000000004</v>
      </c>
    </row>
    <row r="69" spans="1:2">
      <c r="A69" t="s">
        <v>69</v>
      </c>
      <c r="B69">
        <v>0.67900000000000005</v>
      </c>
    </row>
    <row r="70" spans="1:2">
      <c r="A70" t="s">
        <v>70</v>
      </c>
      <c r="B70">
        <v>0.68100000000000005</v>
      </c>
    </row>
    <row r="71" spans="1:2">
      <c r="A71" t="s">
        <v>71</v>
      </c>
      <c r="B71">
        <v>0.69</v>
      </c>
    </row>
    <row r="72" spans="1:2">
      <c r="A72" t="s">
        <v>72</v>
      </c>
      <c r="B72">
        <v>0.69299999999999995</v>
      </c>
    </row>
    <row r="73" spans="1:2">
      <c r="A73" t="s">
        <v>73</v>
      </c>
      <c r="B73">
        <v>0.69599999999999995</v>
      </c>
    </row>
    <row r="74" spans="1:2">
      <c r="A74" t="s">
        <v>74</v>
      </c>
      <c r="B74">
        <v>0.69799999999999995</v>
      </c>
    </row>
    <row r="75" spans="1:2">
      <c r="A75" t="s">
        <v>75</v>
      </c>
      <c r="B75">
        <v>0.69799999999999995</v>
      </c>
    </row>
    <row r="76" spans="1:2">
      <c r="A76" t="s">
        <v>76</v>
      </c>
      <c r="B76">
        <v>0.69899999999999995</v>
      </c>
    </row>
    <row r="77" spans="1:2">
      <c r="A77" t="s">
        <v>77</v>
      </c>
      <c r="B77">
        <v>0.7</v>
      </c>
    </row>
    <row r="78" spans="1:2">
      <c r="A78" t="s">
        <v>78</v>
      </c>
      <c r="B78">
        <v>0.70099999999999996</v>
      </c>
    </row>
    <row r="79" spans="1:2">
      <c r="A79" t="s">
        <v>79</v>
      </c>
      <c r="B79">
        <v>0.70199999999999996</v>
      </c>
    </row>
    <row r="80" spans="1:2">
      <c r="A80" t="s">
        <v>80</v>
      </c>
      <c r="B80">
        <v>0.70599999999999996</v>
      </c>
    </row>
    <row r="81" spans="1:2">
      <c r="A81" t="s">
        <v>81</v>
      </c>
      <c r="B81">
        <v>0.70799999999999996</v>
      </c>
    </row>
    <row r="82" spans="1:2">
      <c r="A82" t="s">
        <v>82</v>
      </c>
      <c r="B82">
        <v>0.71</v>
      </c>
    </row>
    <row r="83" spans="1:2">
      <c r="A83" t="s">
        <v>83</v>
      </c>
      <c r="B83">
        <v>0.71299999999999997</v>
      </c>
    </row>
    <row r="84" spans="1:2">
      <c r="A84" t="s">
        <v>84</v>
      </c>
      <c r="B84">
        <v>0.71599999999999997</v>
      </c>
    </row>
    <row r="85" spans="1:2">
      <c r="A85" t="s">
        <v>85</v>
      </c>
      <c r="B85">
        <v>0.71699999999999997</v>
      </c>
    </row>
    <row r="86" spans="1:2">
      <c r="A86" t="s">
        <v>86</v>
      </c>
      <c r="B86">
        <v>0.72299999999999998</v>
      </c>
    </row>
    <row r="87" spans="1:2">
      <c r="A87" t="s">
        <v>87</v>
      </c>
      <c r="B87">
        <v>0.72499999999999998</v>
      </c>
    </row>
    <row r="88" spans="1:2">
      <c r="A88" t="s">
        <v>88</v>
      </c>
      <c r="B88">
        <v>0.72599999999999998</v>
      </c>
    </row>
    <row r="89" spans="1:2">
      <c r="A89" t="s">
        <v>89</v>
      </c>
      <c r="B89">
        <v>0.72699999999999998</v>
      </c>
    </row>
    <row r="90" spans="1:2">
      <c r="A90" t="s">
        <v>90</v>
      </c>
      <c r="B90">
        <v>0.72799999999999998</v>
      </c>
    </row>
    <row r="91" spans="1:2">
      <c r="A91" t="s">
        <v>91</v>
      </c>
      <c r="B91">
        <v>0.72899999999999998</v>
      </c>
    </row>
    <row r="92" spans="1:2">
      <c r="A92" t="s">
        <v>92</v>
      </c>
      <c r="B92">
        <v>0.73099999999999998</v>
      </c>
    </row>
    <row r="93" spans="1:2">
      <c r="A93" t="s">
        <v>93</v>
      </c>
      <c r="B93">
        <v>0.73099999999999998</v>
      </c>
    </row>
    <row r="94" spans="1:2">
      <c r="A94" t="s">
        <v>94</v>
      </c>
      <c r="B94">
        <v>0.73199999999999998</v>
      </c>
    </row>
    <row r="95" spans="1:2">
      <c r="A95" t="s">
        <v>95</v>
      </c>
      <c r="B95">
        <v>0.73399999999999999</v>
      </c>
    </row>
    <row r="96" spans="1:2">
      <c r="A96" t="s">
        <v>96</v>
      </c>
      <c r="B96">
        <v>0.73599999999999999</v>
      </c>
    </row>
    <row r="97" spans="1:2">
      <c r="A97" t="s">
        <v>97</v>
      </c>
      <c r="B97">
        <v>0.73899999999999999</v>
      </c>
    </row>
    <row r="98" spans="1:2">
      <c r="A98" t="s">
        <v>98</v>
      </c>
      <c r="B98">
        <v>0.74</v>
      </c>
    </row>
    <row r="99" spans="1:2">
      <c r="A99" t="s">
        <v>99</v>
      </c>
      <c r="B99">
        <v>0.74099999999999999</v>
      </c>
    </row>
    <row r="100" spans="1:2">
      <c r="A100" t="s">
        <v>100</v>
      </c>
      <c r="B100">
        <v>0.74199999999999999</v>
      </c>
    </row>
    <row r="101" spans="1:2">
      <c r="A101" t="s">
        <v>101</v>
      </c>
      <c r="B101">
        <v>0.74399999999999999</v>
      </c>
    </row>
    <row r="102" spans="1:2">
      <c r="A102" t="s">
        <v>102</v>
      </c>
      <c r="B102">
        <v>0.745</v>
      </c>
    </row>
    <row r="103" spans="1:2">
      <c r="A103" t="s">
        <v>103</v>
      </c>
      <c r="B103">
        <v>0.746</v>
      </c>
    </row>
    <row r="104" spans="1:2">
      <c r="A104" t="s">
        <v>104</v>
      </c>
      <c r="B104">
        <v>0.75800000000000001</v>
      </c>
    </row>
    <row r="105" spans="1:2">
      <c r="A105" t="s">
        <v>105</v>
      </c>
      <c r="B105">
        <v>0.76</v>
      </c>
    </row>
    <row r="106" spans="1:2">
      <c r="A106" t="s">
        <v>106</v>
      </c>
      <c r="B106">
        <v>0.76</v>
      </c>
    </row>
    <row r="107" spans="1:2">
      <c r="A107" t="s">
        <v>107</v>
      </c>
      <c r="B107">
        <v>0.76200000000000001</v>
      </c>
    </row>
    <row r="108" spans="1:2">
      <c r="A108" t="s">
        <v>108</v>
      </c>
      <c r="B108">
        <v>0.76200000000000001</v>
      </c>
    </row>
    <row r="109" spans="1:2">
      <c r="A109" t="s">
        <v>109</v>
      </c>
      <c r="B109">
        <v>0.76300000000000001</v>
      </c>
    </row>
    <row r="110" spans="1:2">
      <c r="A110" t="s">
        <v>110</v>
      </c>
      <c r="B110">
        <v>0.76400000000000001</v>
      </c>
    </row>
    <row r="111" spans="1:2">
      <c r="A111" t="s">
        <v>111</v>
      </c>
      <c r="B111">
        <v>0.76500000000000001</v>
      </c>
    </row>
    <row r="112" spans="1:2">
      <c r="A112" t="s">
        <v>112</v>
      </c>
      <c r="B112">
        <v>0.76500000000000001</v>
      </c>
    </row>
    <row r="113" spans="1:2">
      <c r="A113" t="s">
        <v>113</v>
      </c>
      <c r="B113">
        <v>0.76600000000000001</v>
      </c>
    </row>
    <row r="114" spans="1:2">
      <c r="A114" t="s">
        <v>114</v>
      </c>
      <c r="B114">
        <v>0.77200000000000002</v>
      </c>
    </row>
    <row r="115" spans="1:2">
      <c r="A115" t="s">
        <v>115</v>
      </c>
      <c r="B115">
        <v>0.77900000000000003</v>
      </c>
    </row>
    <row r="116" spans="1:2">
      <c r="A116" t="s">
        <v>116</v>
      </c>
      <c r="B116">
        <v>0.78</v>
      </c>
    </row>
    <row r="117" spans="1:2">
      <c r="A117" t="s">
        <v>117</v>
      </c>
      <c r="B117">
        <v>0.78</v>
      </c>
    </row>
    <row r="118" spans="1:2">
      <c r="A118" t="s">
        <v>118</v>
      </c>
      <c r="B118">
        <v>0.78100000000000003</v>
      </c>
    </row>
    <row r="119" spans="1:2">
      <c r="A119" t="s">
        <v>119</v>
      </c>
      <c r="B119">
        <v>0.78600000000000003</v>
      </c>
    </row>
    <row r="120" spans="1:2">
      <c r="A120" t="s">
        <v>120</v>
      </c>
      <c r="B120">
        <v>0.78800000000000003</v>
      </c>
    </row>
    <row r="121" spans="1:2">
      <c r="A121" t="s">
        <v>121</v>
      </c>
      <c r="B121">
        <v>0.78900000000000003</v>
      </c>
    </row>
    <row r="122" spans="1:2">
      <c r="A122" t="s">
        <v>122</v>
      </c>
      <c r="B122">
        <v>0.79300000000000004</v>
      </c>
    </row>
    <row r="123" spans="1:2">
      <c r="A123" t="s">
        <v>123</v>
      </c>
      <c r="B123">
        <v>0.79600000000000004</v>
      </c>
    </row>
    <row r="124" spans="1:2">
      <c r="A124" t="s">
        <v>124</v>
      </c>
      <c r="B124">
        <v>0.79700000000000004</v>
      </c>
    </row>
    <row r="125" spans="1:2">
      <c r="A125" t="s">
        <v>125</v>
      </c>
      <c r="B125">
        <v>0.79900000000000004</v>
      </c>
    </row>
    <row r="126" spans="1:2">
      <c r="A126" t="s">
        <v>126</v>
      </c>
      <c r="B126">
        <v>0.80100000000000005</v>
      </c>
    </row>
    <row r="127" spans="1:2">
      <c r="A127" t="s">
        <v>127</v>
      </c>
      <c r="B127">
        <v>0.80200000000000005</v>
      </c>
    </row>
    <row r="128" spans="1:2">
      <c r="A128" t="s">
        <v>128</v>
      </c>
      <c r="B128">
        <v>0.80200000000000005</v>
      </c>
    </row>
    <row r="129" spans="1:2">
      <c r="A129" t="s">
        <v>129</v>
      </c>
      <c r="B129">
        <v>0.80300000000000005</v>
      </c>
    </row>
    <row r="130" spans="1:2">
      <c r="A130" t="s">
        <v>130</v>
      </c>
      <c r="B130">
        <v>0.80500000000000005</v>
      </c>
    </row>
    <row r="131" spans="1:2">
      <c r="A131" t="s">
        <v>131</v>
      </c>
      <c r="B131">
        <v>0.80600000000000005</v>
      </c>
    </row>
    <row r="132" spans="1:2">
      <c r="A132" t="s">
        <v>132</v>
      </c>
      <c r="B132">
        <v>0.80700000000000005</v>
      </c>
    </row>
    <row r="133" spans="1:2">
      <c r="A133" t="s">
        <v>133</v>
      </c>
      <c r="B133">
        <v>0.80900000000000005</v>
      </c>
    </row>
    <row r="134" spans="1:2">
      <c r="A134" t="s">
        <v>134</v>
      </c>
      <c r="B134">
        <v>0.81399999999999995</v>
      </c>
    </row>
    <row r="135" spans="1:2">
      <c r="A135" t="s">
        <v>135</v>
      </c>
      <c r="B135">
        <v>0.81399999999999995</v>
      </c>
    </row>
    <row r="136" spans="1:2">
      <c r="A136" t="s">
        <v>136</v>
      </c>
      <c r="B136">
        <v>0.81899999999999995</v>
      </c>
    </row>
    <row r="137" spans="1:2">
      <c r="A137" t="s">
        <v>137</v>
      </c>
      <c r="B137">
        <v>0.82</v>
      </c>
    </row>
    <row r="138" spans="1:2">
      <c r="A138" t="s">
        <v>138</v>
      </c>
      <c r="B138">
        <v>0.82</v>
      </c>
    </row>
    <row r="139" spans="1:2">
      <c r="A139" t="s">
        <v>139</v>
      </c>
      <c r="B139">
        <v>0.82099999999999995</v>
      </c>
    </row>
    <row r="140" spans="1:2">
      <c r="A140" t="s">
        <v>140</v>
      </c>
      <c r="B140">
        <v>0.82299999999999995</v>
      </c>
    </row>
    <row r="141" spans="1:2">
      <c r="A141" t="s">
        <v>141</v>
      </c>
      <c r="B141">
        <v>0.82599999999999996</v>
      </c>
    </row>
    <row r="142" spans="1:2">
      <c r="A142" t="s">
        <v>142</v>
      </c>
      <c r="B142">
        <v>0.82699999999999996</v>
      </c>
    </row>
    <row r="143" spans="1:2">
      <c r="A143" t="s">
        <v>143</v>
      </c>
      <c r="B143">
        <v>0.83</v>
      </c>
    </row>
    <row r="144" spans="1:2">
      <c r="A144" t="s">
        <v>144</v>
      </c>
      <c r="B144">
        <v>0.83799999999999997</v>
      </c>
    </row>
    <row r="145" spans="1:2">
      <c r="A145" t="s">
        <v>145</v>
      </c>
      <c r="B145">
        <v>0.84399999999999997</v>
      </c>
    </row>
    <row r="146" spans="1:2">
      <c r="A146" t="s">
        <v>146</v>
      </c>
      <c r="B146">
        <v>0.84699999999999998</v>
      </c>
    </row>
    <row r="147" spans="1:2">
      <c r="A147" t="s">
        <v>147</v>
      </c>
      <c r="B147">
        <v>0.84899999999999998</v>
      </c>
    </row>
    <row r="148" spans="1:2">
      <c r="A148" t="s">
        <v>148</v>
      </c>
      <c r="B148">
        <v>0.85099999999999998</v>
      </c>
    </row>
    <row r="149" spans="1:2">
      <c r="A149" t="s">
        <v>149</v>
      </c>
      <c r="B149">
        <v>0.85499999999999998</v>
      </c>
    </row>
    <row r="150" spans="1:2">
      <c r="A150" t="s">
        <v>150</v>
      </c>
      <c r="B150">
        <v>0.85499999999999998</v>
      </c>
    </row>
    <row r="151" spans="1:2">
      <c r="A151" t="s">
        <v>151</v>
      </c>
      <c r="B151">
        <v>0.86</v>
      </c>
    </row>
    <row r="152" spans="1:2">
      <c r="A152" t="s">
        <v>152</v>
      </c>
      <c r="B152">
        <v>0.86699999999999999</v>
      </c>
    </row>
    <row r="153" spans="1:2">
      <c r="A153" t="s">
        <v>153</v>
      </c>
      <c r="B153">
        <v>0.874</v>
      </c>
    </row>
    <row r="154" spans="1:2">
      <c r="A154" t="s">
        <v>154</v>
      </c>
      <c r="B154">
        <v>0.875</v>
      </c>
    </row>
    <row r="155" spans="1:2">
      <c r="A155" t="s">
        <v>155</v>
      </c>
      <c r="B155">
        <v>0.875</v>
      </c>
    </row>
    <row r="156" spans="1:2">
      <c r="A156" t="s">
        <v>156</v>
      </c>
      <c r="B156">
        <v>0.878</v>
      </c>
    </row>
    <row r="157" spans="1:2">
      <c r="A157" t="s">
        <v>157</v>
      </c>
      <c r="B157">
        <v>0.879</v>
      </c>
    </row>
    <row r="158" spans="1:2">
      <c r="A158" t="s">
        <v>158</v>
      </c>
      <c r="B158">
        <v>0.879</v>
      </c>
    </row>
    <row r="159" spans="1:2">
      <c r="A159" t="s">
        <v>159</v>
      </c>
      <c r="B159">
        <v>0.88100000000000001</v>
      </c>
    </row>
    <row r="160" spans="1:2">
      <c r="A160" t="s">
        <v>160</v>
      </c>
      <c r="B160">
        <v>0.88400000000000001</v>
      </c>
    </row>
    <row r="161" spans="1:2">
      <c r="A161" t="s">
        <v>161</v>
      </c>
      <c r="B161">
        <v>0.88800000000000001</v>
      </c>
    </row>
    <row r="162" spans="1:2">
      <c r="A162" t="s">
        <v>162</v>
      </c>
      <c r="B162">
        <v>0.89300000000000002</v>
      </c>
    </row>
    <row r="163" spans="1:2">
      <c r="A163" t="s">
        <v>163</v>
      </c>
      <c r="B163">
        <v>0.89500000000000002</v>
      </c>
    </row>
    <row r="164" spans="1:2">
      <c r="A164" t="s">
        <v>164</v>
      </c>
      <c r="B164">
        <v>0.89900000000000002</v>
      </c>
    </row>
    <row r="165" spans="1:2">
      <c r="A165" t="s">
        <v>165</v>
      </c>
      <c r="B165">
        <v>0.90600000000000003</v>
      </c>
    </row>
    <row r="166" spans="1:2">
      <c r="A166" t="s">
        <v>166</v>
      </c>
      <c r="B166">
        <v>0.90700000000000003</v>
      </c>
    </row>
    <row r="167" spans="1:2">
      <c r="A167" t="s">
        <v>167</v>
      </c>
      <c r="B167">
        <v>0.91</v>
      </c>
    </row>
    <row r="168" spans="1:2">
      <c r="A168" t="s">
        <v>168</v>
      </c>
      <c r="B168">
        <v>0.91100000000000003</v>
      </c>
    </row>
    <row r="169" spans="1:2">
      <c r="A169" t="s">
        <v>169</v>
      </c>
      <c r="B169">
        <v>0.91500000000000004</v>
      </c>
    </row>
    <row r="170" spans="1:2">
      <c r="A170" t="s">
        <v>170</v>
      </c>
      <c r="B170">
        <v>0.91500000000000004</v>
      </c>
    </row>
    <row r="171" spans="1:2">
      <c r="A171" t="s">
        <v>171</v>
      </c>
      <c r="B171">
        <v>0.92</v>
      </c>
    </row>
    <row r="172" spans="1:2">
      <c r="A172" t="s">
        <v>172</v>
      </c>
      <c r="B172">
        <v>0.92600000000000005</v>
      </c>
    </row>
    <row r="173" spans="1:2">
      <c r="A173" t="s">
        <v>173</v>
      </c>
      <c r="B173">
        <v>0.92600000000000005</v>
      </c>
    </row>
    <row r="174" spans="1:2">
      <c r="A174" t="s">
        <v>174</v>
      </c>
      <c r="B174">
        <v>0.92700000000000005</v>
      </c>
    </row>
    <row r="175" spans="1:2">
      <c r="A175" t="s">
        <v>175</v>
      </c>
      <c r="B175">
        <v>0.92700000000000005</v>
      </c>
    </row>
    <row r="176" spans="1:2">
      <c r="A176" t="s">
        <v>176</v>
      </c>
      <c r="B176">
        <v>0.92900000000000005</v>
      </c>
    </row>
    <row r="177" spans="1:2">
      <c r="A177" t="s">
        <v>177</v>
      </c>
      <c r="B177">
        <v>0.93500000000000005</v>
      </c>
    </row>
    <row r="178" spans="1:2">
      <c r="A178" t="s">
        <v>178</v>
      </c>
      <c r="B178">
        <v>0.93700000000000006</v>
      </c>
    </row>
    <row r="179" spans="1:2">
      <c r="A179" t="s">
        <v>179</v>
      </c>
      <c r="B179">
        <v>0.93899999999999995</v>
      </c>
    </row>
    <row r="180" spans="1:2">
      <c r="A180" t="s">
        <v>180</v>
      </c>
      <c r="B180">
        <v>0.94</v>
      </c>
    </row>
    <row r="181" spans="1:2">
      <c r="A181" t="s">
        <v>181</v>
      </c>
      <c r="B181">
        <v>0.94199999999999995</v>
      </c>
    </row>
    <row r="182" spans="1:2">
      <c r="A182" t="s">
        <v>182</v>
      </c>
      <c r="B182">
        <v>0.94199999999999995</v>
      </c>
    </row>
    <row r="183" spans="1:2">
      <c r="A183" t="s">
        <v>183</v>
      </c>
      <c r="B183">
        <v>0.94199999999999995</v>
      </c>
    </row>
    <row r="184" spans="1:2">
      <c r="A184" t="s">
        <v>184</v>
      </c>
      <c r="B184">
        <v>0.94599999999999995</v>
      </c>
    </row>
    <row r="185" spans="1:2">
      <c r="A185" t="s">
        <v>185</v>
      </c>
      <c r="B185">
        <v>0.94599999999999995</v>
      </c>
    </row>
    <row r="186" spans="1:2">
      <c r="A186" t="s">
        <v>186</v>
      </c>
      <c r="B186">
        <v>0.94899999999999995</v>
      </c>
    </row>
    <row r="187" spans="1:2">
      <c r="A187" t="s">
        <v>187</v>
      </c>
      <c r="B187">
        <v>0.95</v>
      </c>
    </row>
    <row r="188" spans="1:2">
      <c r="A188" t="s">
        <v>188</v>
      </c>
      <c r="B188">
        <v>0.95</v>
      </c>
    </row>
    <row r="189" spans="1:2">
      <c r="A189" t="s">
        <v>189</v>
      </c>
      <c r="B189">
        <v>0.95199999999999996</v>
      </c>
    </row>
    <row r="190" spans="1:2">
      <c r="A190" t="s">
        <v>190</v>
      </c>
      <c r="B190">
        <v>0.95199999999999996</v>
      </c>
    </row>
    <row r="191" spans="1:2">
      <c r="A191" t="s">
        <v>191</v>
      </c>
      <c r="B191">
        <v>0.95599999999999996</v>
      </c>
    </row>
    <row r="192" spans="1:2">
      <c r="A192" t="s">
        <v>192</v>
      </c>
      <c r="B192">
        <v>0.95899999999999996</v>
      </c>
    </row>
    <row r="193" spans="1:2">
      <c r="A193" t="s">
        <v>193</v>
      </c>
      <c r="B193">
        <v>0.96599999999999997</v>
      </c>
    </row>
    <row r="194" spans="1:2">
      <c r="A194" t="s">
        <v>194</v>
      </c>
      <c r="B194">
        <v>0.96699999999999997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2ABA-26FD-49C9-B8A3-7FBE8A4E9F37}">
  <dimension ref="A1:B23"/>
  <sheetViews>
    <sheetView topLeftCell="A2" workbookViewId="0">
      <selection activeCell="A23" sqref="A23"/>
    </sheetView>
  </sheetViews>
  <sheetFormatPr baseColWidth="10" defaultColWidth="8.83203125" defaultRowHeight="15"/>
  <cols>
    <col min="2" max="2" width="10.1640625" style="1" bestFit="1" customWidth="1"/>
  </cols>
  <sheetData>
    <row r="1" spans="1:2">
      <c r="A1" t="s">
        <v>195</v>
      </c>
    </row>
    <row r="2" spans="1:2">
      <c r="A2" t="s">
        <v>196</v>
      </c>
    </row>
    <row r="3" spans="1:2">
      <c r="A3" t="s">
        <v>197</v>
      </c>
      <c r="B3" s="1" t="s">
        <v>198</v>
      </c>
    </row>
    <row r="4" spans="1:2">
      <c r="A4" t="s">
        <v>175</v>
      </c>
      <c r="B4" s="1">
        <v>63084.019469999999</v>
      </c>
    </row>
    <row r="5" spans="1:2">
      <c r="A5" t="s">
        <v>174</v>
      </c>
      <c r="B5" s="1">
        <v>50501.348720000002</v>
      </c>
    </row>
    <row r="6" spans="1:2">
      <c r="A6" t="s">
        <v>194</v>
      </c>
      <c r="B6" s="1">
        <v>47123.850180000001</v>
      </c>
    </row>
    <row r="7" spans="1:2">
      <c r="A7" t="s">
        <v>187</v>
      </c>
      <c r="B7" s="1">
        <v>42417.403769999997</v>
      </c>
    </row>
    <row r="8" spans="1:2">
      <c r="A8" t="s">
        <v>185</v>
      </c>
      <c r="B8" s="1">
        <v>41199.646580000001</v>
      </c>
    </row>
    <row r="9" spans="1:2">
      <c r="A9" t="s">
        <v>172</v>
      </c>
      <c r="B9" s="1">
        <v>40933.733469999999</v>
      </c>
    </row>
    <row r="10" spans="1:2">
      <c r="A10" t="s">
        <v>183</v>
      </c>
      <c r="B10" s="1">
        <v>37365.363010000001</v>
      </c>
    </row>
    <row r="11" spans="1:2">
      <c r="A11" t="s">
        <v>184</v>
      </c>
      <c r="B11" s="1">
        <v>36367.8681</v>
      </c>
    </row>
    <row r="12" spans="1:2">
      <c r="A12" t="s">
        <v>180</v>
      </c>
      <c r="B12" s="1">
        <v>36196.550320000002</v>
      </c>
    </row>
    <row r="13" spans="1:2">
      <c r="A13" t="s">
        <v>177</v>
      </c>
      <c r="B13" s="1">
        <v>35560.62371</v>
      </c>
    </row>
    <row r="14" spans="1:2">
      <c r="A14" t="s">
        <v>167</v>
      </c>
      <c r="B14" s="1">
        <v>35000.876129999997</v>
      </c>
    </row>
    <row r="15" spans="1:2">
      <c r="A15" t="s">
        <v>165</v>
      </c>
      <c r="B15" s="1">
        <v>34673.923779999997</v>
      </c>
    </row>
    <row r="16" spans="1:2">
      <c r="A16" t="s">
        <v>182</v>
      </c>
      <c r="B16" s="1">
        <v>33014.483419999997</v>
      </c>
    </row>
    <row r="17" spans="1:2">
      <c r="A17" t="s">
        <v>188</v>
      </c>
      <c r="B17" s="1">
        <v>32213.277109999999</v>
      </c>
    </row>
    <row r="18" spans="1:2">
      <c r="A18" t="s">
        <v>189</v>
      </c>
      <c r="B18" s="1">
        <v>31849.672900000001</v>
      </c>
    </row>
    <row r="19" spans="1:2">
      <c r="A19" t="s">
        <v>168</v>
      </c>
      <c r="B19" s="1">
        <v>31193.457170000001</v>
      </c>
    </row>
    <row r="20" spans="1:2">
      <c r="A20" t="s">
        <v>190</v>
      </c>
      <c r="B20" s="1">
        <v>30101.187870000002</v>
      </c>
    </row>
    <row r="23" spans="1:2">
      <c r="A23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FDC5-647F-4196-A14E-CAF8F3035456}">
  <sheetPr>
    <tabColor rgb="FF00B050"/>
  </sheetPr>
  <dimension ref="A1:AU149"/>
  <sheetViews>
    <sheetView showGridLines="0" topLeftCell="D1" zoomScale="90" zoomScaleNormal="110" zoomScaleSheetLayoutView="80" workbookViewId="0">
      <selection activeCell="O26" sqref="O26"/>
    </sheetView>
  </sheetViews>
  <sheetFormatPr baseColWidth="10" defaultColWidth="8.83203125" defaultRowHeight="15" customHeight="1"/>
  <cols>
    <col min="1" max="1" width="0" hidden="1" customWidth="1"/>
    <col min="2" max="2" width="18" hidden="1" customWidth="1"/>
    <col min="3" max="3" width="16.83203125" hidden="1" customWidth="1"/>
    <col min="4" max="4" width="8.5" bestFit="1" customWidth="1"/>
    <col min="5" max="5" width="12.1640625" customWidth="1"/>
    <col min="6" max="7" width="17.1640625" customWidth="1"/>
    <col min="8" max="8" width="21.5" customWidth="1"/>
    <col min="9" max="9" width="14" customWidth="1"/>
    <col min="10" max="10" width="17.6640625" customWidth="1"/>
    <col min="11" max="11" width="17.1640625" customWidth="1"/>
    <col min="12" max="12" width="13.5" customWidth="1"/>
    <col min="13" max="13" width="3.5" customWidth="1"/>
    <col min="14" max="14" width="12.5" customWidth="1"/>
    <col min="15" max="16" width="17.1640625" customWidth="1"/>
    <col min="17" max="17" width="14.83203125" bestFit="1" customWidth="1"/>
    <col min="18" max="18" width="15.83203125" hidden="1" customWidth="1"/>
    <col min="19" max="19" width="14.1640625" hidden="1" customWidth="1"/>
    <col min="20" max="20" width="14.83203125" hidden="1" customWidth="1"/>
    <col min="21" max="21" width="14.1640625" hidden="1" customWidth="1"/>
    <col min="22" max="22" width="2.83203125" customWidth="1"/>
    <col min="24" max="24" width="53.5" customWidth="1"/>
    <col min="25" max="25" width="9.1640625" customWidth="1"/>
    <col min="26" max="26" width="8.5" bestFit="1" customWidth="1"/>
    <col min="27" max="27" width="16.5" customWidth="1"/>
    <col min="28" max="28" width="15.83203125" bestFit="1" customWidth="1"/>
    <col min="29" max="30" width="15.83203125" customWidth="1"/>
    <col min="31" max="31" width="26.5" customWidth="1"/>
    <col min="32" max="32" width="23.1640625" customWidth="1"/>
    <col min="33" max="33" width="19.5" customWidth="1"/>
    <col min="34" max="34" width="11.5" customWidth="1"/>
    <col min="35" max="36" width="8.5" bestFit="1" customWidth="1"/>
    <col min="37" max="37" width="14.5" bestFit="1" customWidth="1"/>
    <col min="38" max="38" width="8.5" bestFit="1" customWidth="1"/>
    <col min="39" max="44" width="8.5" style="16" bestFit="1" customWidth="1"/>
    <col min="45" max="46" width="15.5" style="16" bestFit="1" customWidth="1"/>
    <col min="47" max="47" width="8.83203125" style="16"/>
  </cols>
  <sheetData>
    <row r="1" spans="1:47" ht="39.5" customHeight="1">
      <c r="E1" s="82"/>
      <c r="F1" s="138"/>
      <c r="G1" s="38"/>
      <c r="H1" s="38"/>
      <c r="I1" s="38"/>
      <c r="J1" s="83"/>
      <c r="K1" s="83"/>
      <c r="L1" s="83"/>
      <c r="N1" s="113"/>
      <c r="O1" s="114" t="s">
        <v>200</v>
      </c>
      <c r="P1" s="115"/>
      <c r="Q1" s="116">
        <v>10000000</v>
      </c>
      <c r="R1" s="1"/>
      <c r="S1" s="1"/>
      <c r="T1" s="1"/>
      <c r="U1" s="1"/>
      <c r="V1" s="1"/>
      <c r="AE1" s="65"/>
      <c r="AH1" s="65"/>
    </row>
    <row r="2" spans="1:47" s="17" customFormat="1" ht="58" customHeight="1">
      <c r="B2" s="17" t="s">
        <v>272</v>
      </c>
      <c r="C2" s="17" t="s">
        <v>201</v>
      </c>
      <c r="E2" s="125" t="s">
        <v>202</v>
      </c>
      <c r="F2" s="126" t="s">
        <v>275</v>
      </c>
      <c r="G2" s="126" t="s">
        <v>276</v>
      </c>
      <c r="H2" s="126" t="s">
        <v>277</v>
      </c>
      <c r="I2" s="126" t="s">
        <v>273</v>
      </c>
      <c r="J2" s="126" t="s">
        <v>271</v>
      </c>
      <c r="K2" s="126" t="s">
        <v>274</v>
      </c>
      <c r="L2" s="127" t="s">
        <v>203</v>
      </c>
      <c r="M2"/>
      <c r="N2" s="117"/>
      <c r="O2" s="139" t="s">
        <v>204</v>
      </c>
      <c r="P2" s="139" t="s">
        <v>205</v>
      </c>
      <c r="Q2" s="118"/>
      <c r="R2"/>
      <c r="S2"/>
      <c r="T2"/>
      <c r="U2"/>
      <c r="V2"/>
      <c r="W2"/>
      <c r="X2"/>
      <c r="AA2" s="18"/>
      <c r="AB2" s="18"/>
      <c r="AC2" s="18"/>
      <c r="AD2" s="18"/>
      <c r="AE2" s="80"/>
      <c r="AF2" s="18"/>
      <c r="AG2" s="18"/>
      <c r="AM2" s="20"/>
      <c r="AN2" s="20"/>
      <c r="AO2" s="21"/>
      <c r="AP2" s="21"/>
      <c r="AQ2" s="21"/>
      <c r="AR2" s="21"/>
      <c r="AS2" s="21"/>
      <c r="AT2" s="21"/>
      <c r="AU2" s="21"/>
    </row>
    <row r="3" spans="1:47" s="17" customFormat="1" ht="18" customHeight="1">
      <c r="A3" s="128" t="s">
        <v>206</v>
      </c>
      <c r="B3" s="5">
        <v>1670145</v>
      </c>
      <c r="C3" s="1">
        <v>2600000</v>
      </c>
      <c r="E3" s="134" t="s">
        <v>206</v>
      </c>
      <c r="F3" s="153">
        <v>3715646</v>
      </c>
      <c r="G3" s="153">
        <v>27876</v>
      </c>
      <c r="H3" s="91">
        <v>0.28632383171055587</v>
      </c>
      <c r="I3" s="145">
        <v>5290</v>
      </c>
      <c r="J3" s="155">
        <v>0.83199999999999996</v>
      </c>
      <c r="K3" s="90">
        <v>3</v>
      </c>
      <c r="L3" s="147">
        <v>69931528</v>
      </c>
      <c r="N3" s="140" t="s">
        <v>206</v>
      </c>
      <c r="O3" s="90">
        <f t="shared" ref="O3:O14" si="0">SUMPRODUCT($F$18:$L$18,F23:L23)</f>
        <v>43.604467916417207</v>
      </c>
      <c r="P3" s="91">
        <f t="shared" ref="P3:P14" si="1">O3/SUM($O$3:$O$14)</f>
        <v>6.9413892351291417E-2</v>
      </c>
      <c r="Q3" s="119">
        <f t="shared" ref="Q3:Q14" si="2">P3*$Q$1</f>
        <v>694138.92351291422</v>
      </c>
      <c r="S3" s="86"/>
      <c r="T3" s="86"/>
      <c r="W3" s="92"/>
      <c r="AB3" s="87"/>
      <c r="AC3" s="87"/>
      <c r="AD3" s="87"/>
      <c r="AE3" s="93"/>
      <c r="AF3" s="87"/>
      <c r="AG3" s="87"/>
      <c r="AH3" s="94"/>
      <c r="AI3" s="87"/>
      <c r="AJ3" s="95"/>
      <c r="AK3" s="87"/>
      <c r="AM3" s="21"/>
      <c r="AN3" s="21"/>
      <c r="AO3" s="21"/>
      <c r="AP3" s="21"/>
      <c r="AQ3" s="21"/>
      <c r="AR3" s="21"/>
      <c r="AS3" s="96"/>
      <c r="AT3" s="96"/>
      <c r="AU3" s="21"/>
    </row>
    <row r="4" spans="1:47" s="17" customFormat="1" ht="18" customHeight="1">
      <c r="A4" s="128" t="s">
        <v>207</v>
      </c>
      <c r="B4" s="5"/>
      <c r="C4" s="1"/>
      <c r="E4" s="134" t="s">
        <v>207</v>
      </c>
      <c r="F4" s="153">
        <v>28829667</v>
      </c>
      <c r="G4" s="153">
        <v>251832</v>
      </c>
      <c r="H4" s="91">
        <v>0.246</v>
      </c>
      <c r="I4" s="145">
        <v>8700</v>
      </c>
      <c r="J4" s="155">
        <v>0.79400000000000004</v>
      </c>
      <c r="K4" s="90">
        <v>2</v>
      </c>
      <c r="L4" s="147"/>
      <c r="N4" s="140" t="s">
        <v>207</v>
      </c>
      <c r="O4" s="90">
        <f t="shared" si="0"/>
        <v>54.477800963673822</v>
      </c>
      <c r="P4" s="91">
        <f t="shared" si="1"/>
        <v>8.6723136236316348E-2</v>
      </c>
      <c r="Q4" s="119">
        <f t="shared" si="2"/>
        <v>867231.3623631635</v>
      </c>
      <c r="S4" s="86"/>
      <c r="T4" s="86"/>
      <c r="W4" s="92"/>
      <c r="AB4" s="87"/>
      <c r="AC4" s="87"/>
      <c r="AD4" s="87"/>
      <c r="AE4" s="93"/>
      <c r="AF4" s="87"/>
      <c r="AG4" s="87"/>
      <c r="AH4" s="94"/>
      <c r="AI4" s="87"/>
      <c r="AJ4" s="95"/>
      <c r="AK4" s="87"/>
      <c r="AM4" s="21"/>
      <c r="AN4" s="21"/>
      <c r="AO4" s="21"/>
      <c r="AP4" s="21"/>
      <c r="AQ4" s="21"/>
      <c r="AR4" s="21"/>
      <c r="AS4" s="96"/>
      <c r="AT4" s="96"/>
      <c r="AU4" s="21"/>
    </row>
    <row r="5" spans="1:47" s="17" customFormat="1" ht="18" customHeight="1">
      <c r="A5" s="128" t="s">
        <v>61</v>
      </c>
      <c r="B5" s="5">
        <v>22955130</v>
      </c>
      <c r="C5" s="1">
        <v>917000</v>
      </c>
      <c r="E5" s="134" t="s">
        <v>61</v>
      </c>
      <c r="F5" s="153">
        <v>32826437</v>
      </c>
      <c r="G5" s="153">
        <v>12161</v>
      </c>
      <c r="H5" s="91">
        <v>0.38100000000000001</v>
      </c>
      <c r="I5" s="145">
        <v>1710</v>
      </c>
      <c r="J5" s="155">
        <v>0.52100000000000002</v>
      </c>
      <c r="K5" s="90">
        <v>3</v>
      </c>
      <c r="L5" s="147">
        <v>1476625576</v>
      </c>
      <c r="N5" s="140" t="s">
        <v>61</v>
      </c>
      <c r="O5" s="90">
        <f t="shared" si="0"/>
        <v>78.707340463962694</v>
      </c>
      <c r="P5" s="91">
        <f t="shared" si="1"/>
        <v>0.12529410675746305</v>
      </c>
      <c r="Q5" s="119">
        <f t="shared" si="2"/>
        <v>1252941.0675746305</v>
      </c>
      <c r="S5" s="86"/>
      <c r="T5" s="86"/>
      <c r="W5" s="92"/>
      <c r="AB5" s="87"/>
      <c r="AC5" s="87"/>
      <c r="AD5" s="87"/>
      <c r="AE5" s="93"/>
      <c r="AF5" s="87"/>
      <c r="AG5" s="87"/>
      <c r="AH5" s="94"/>
      <c r="AI5" s="87"/>
      <c r="AJ5" s="95"/>
      <c r="AK5" s="87"/>
      <c r="AM5" s="21"/>
      <c r="AN5" s="21"/>
      <c r="AO5" s="21"/>
      <c r="AP5" s="21"/>
      <c r="AQ5" s="21"/>
      <c r="AR5" s="21"/>
      <c r="AS5" s="96"/>
      <c r="AT5" s="96"/>
      <c r="AU5" s="21"/>
    </row>
    <row r="6" spans="1:47" s="17" customFormat="1" ht="18" customHeight="1">
      <c r="A6" s="128" t="s">
        <v>90</v>
      </c>
      <c r="B6" s="5">
        <v>1507126</v>
      </c>
      <c r="C6" s="1">
        <v>14800</v>
      </c>
      <c r="E6" s="134" t="s">
        <v>90</v>
      </c>
      <c r="F6" s="153">
        <v>3599912</v>
      </c>
      <c r="G6" s="153">
        <v>822</v>
      </c>
      <c r="H6" s="91">
        <v>0.25800000000000001</v>
      </c>
      <c r="I6" s="145">
        <v>3280</v>
      </c>
      <c r="J6" s="155">
        <v>0.3</v>
      </c>
      <c r="K6" s="90">
        <v>1</v>
      </c>
      <c r="L6" s="135">
        <v>120101000</v>
      </c>
      <c r="N6" s="140" t="s">
        <v>90</v>
      </c>
      <c r="O6" s="90">
        <f t="shared" si="0"/>
        <v>33.333581862831934</v>
      </c>
      <c r="P6" s="91">
        <f t="shared" si="1"/>
        <v>5.3063683004796358E-2</v>
      </c>
      <c r="Q6" s="119">
        <f t="shared" si="2"/>
        <v>530636.83004796354</v>
      </c>
      <c r="S6" s="86"/>
      <c r="T6" s="86"/>
      <c r="W6" s="92"/>
      <c r="AB6" s="87"/>
      <c r="AC6" s="87"/>
      <c r="AD6" s="87"/>
      <c r="AE6" s="93"/>
      <c r="AF6" s="87"/>
      <c r="AG6" s="87"/>
      <c r="AH6" s="94"/>
      <c r="AI6" s="87"/>
      <c r="AJ6" s="95"/>
      <c r="AK6" s="87"/>
      <c r="AM6" s="21"/>
      <c r="AN6" s="21"/>
      <c r="AO6" s="21"/>
      <c r="AP6" s="21"/>
      <c r="AQ6" s="21"/>
      <c r="AR6" s="21"/>
      <c r="AS6" s="96"/>
      <c r="AT6" s="96"/>
      <c r="AU6" s="21"/>
    </row>
    <row r="7" spans="1:47" s="17" customFormat="1" ht="18" customHeight="1">
      <c r="A7" s="128" t="s">
        <v>139</v>
      </c>
      <c r="B7" s="5">
        <v>3251927</v>
      </c>
      <c r="C7" s="1">
        <v>426000</v>
      </c>
      <c r="E7" s="134" t="s">
        <v>139</v>
      </c>
      <c r="F7" s="153">
        <v>7755950</v>
      </c>
      <c r="G7" s="153">
        <v>8399</v>
      </c>
      <c r="H7" s="91">
        <v>0.28199999999999997</v>
      </c>
      <c r="I7" s="145">
        <v>4080</v>
      </c>
      <c r="J7" s="155">
        <v>0.34799999999999998</v>
      </c>
      <c r="K7" s="90">
        <v>3</v>
      </c>
      <c r="L7" s="147">
        <v>143394458</v>
      </c>
      <c r="N7" s="140" t="s">
        <v>139</v>
      </c>
      <c r="O7" s="90">
        <f t="shared" si="0"/>
        <v>42.228251204230396</v>
      </c>
      <c r="P7" s="91">
        <f t="shared" si="1"/>
        <v>6.7223094864783922E-2</v>
      </c>
      <c r="Q7" s="119">
        <f t="shared" si="2"/>
        <v>672230.94864783925</v>
      </c>
      <c r="S7" s="86"/>
      <c r="T7" s="86"/>
      <c r="W7" s="92"/>
      <c r="AB7" s="87"/>
      <c r="AC7" s="87"/>
      <c r="AD7" s="87"/>
      <c r="AE7" s="93"/>
      <c r="AF7" s="87"/>
      <c r="AG7" s="87"/>
      <c r="AH7" s="94"/>
      <c r="AI7" s="87"/>
      <c r="AJ7" s="95"/>
      <c r="AK7" s="87"/>
      <c r="AM7" s="21"/>
      <c r="AN7" s="21"/>
      <c r="AO7" s="21"/>
      <c r="AP7" s="21"/>
      <c r="AQ7" s="21"/>
      <c r="AR7" s="21"/>
      <c r="AS7" s="96"/>
      <c r="AT7" s="96"/>
      <c r="AU7" s="21"/>
    </row>
    <row r="8" spans="1:47" s="17" customFormat="1" ht="18" customHeight="1">
      <c r="A8" s="128" t="s">
        <v>120</v>
      </c>
      <c r="B8" s="5">
        <v>35318583</v>
      </c>
      <c r="C8" s="1">
        <v>6300000</v>
      </c>
      <c r="E8" s="134" t="s">
        <v>120</v>
      </c>
      <c r="F8" s="153">
        <v>41788688</v>
      </c>
      <c r="G8" s="153">
        <v>121677</v>
      </c>
      <c r="H8" s="91">
        <v>0.35499999999999998</v>
      </c>
      <c r="I8" s="145">
        <v>3640</v>
      </c>
      <c r="J8" s="155">
        <v>0.74399999999999999</v>
      </c>
      <c r="K8" s="90">
        <v>3</v>
      </c>
      <c r="L8" s="147">
        <v>1420000000</v>
      </c>
      <c r="N8" s="140" t="s">
        <v>120</v>
      </c>
      <c r="O8" s="90">
        <f t="shared" si="0"/>
        <v>81.002703813539583</v>
      </c>
      <c r="P8" s="91">
        <f t="shared" si="1"/>
        <v>0.12894809250864891</v>
      </c>
      <c r="Q8" s="119">
        <f t="shared" si="2"/>
        <v>1289480.9250864892</v>
      </c>
      <c r="S8" s="86"/>
      <c r="T8" s="86"/>
      <c r="W8" s="92"/>
      <c r="AB8" s="87"/>
      <c r="AC8" s="87"/>
      <c r="AD8" s="87"/>
      <c r="AE8" s="93"/>
      <c r="AF8" s="87"/>
      <c r="AG8" s="87"/>
      <c r="AH8" s="94"/>
      <c r="AI8" s="87"/>
      <c r="AJ8" s="95"/>
      <c r="AK8" s="87"/>
      <c r="AM8" s="21"/>
      <c r="AN8" s="21"/>
      <c r="AO8" s="21"/>
      <c r="AP8" s="21"/>
      <c r="AQ8" s="21"/>
      <c r="AR8" s="21"/>
      <c r="AS8" s="96"/>
      <c r="AT8" s="96"/>
      <c r="AU8" s="21"/>
    </row>
    <row r="9" spans="1:47" s="17" customFormat="1" ht="18" customHeight="1">
      <c r="A9" s="128" t="s">
        <v>208</v>
      </c>
      <c r="B9" s="5">
        <v>293746</v>
      </c>
      <c r="C9" s="1">
        <v>180000</v>
      </c>
      <c r="E9" s="134" t="s">
        <v>208</v>
      </c>
      <c r="F9" s="153">
        <v>445002</v>
      </c>
      <c r="G9" s="153">
        <v>4851</v>
      </c>
      <c r="H9" s="91">
        <v>0.39200000000000002</v>
      </c>
      <c r="I9" s="145">
        <v>1890</v>
      </c>
      <c r="J9" s="155">
        <v>0.92700000000000005</v>
      </c>
      <c r="K9" s="90">
        <v>2</v>
      </c>
      <c r="L9" s="147">
        <v>11574682</v>
      </c>
      <c r="N9" s="140" t="s">
        <v>208</v>
      </c>
      <c r="O9" s="90">
        <f t="shared" si="0"/>
        <v>62.622650010102021</v>
      </c>
      <c r="P9" s="91">
        <f t="shared" si="1"/>
        <v>9.9688910202644782E-2</v>
      </c>
      <c r="Q9" s="119">
        <f t="shared" si="2"/>
        <v>996889.10202644777</v>
      </c>
      <c r="S9" s="86"/>
      <c r="T9" s="86"/>
      <c r="W9" s="92"/>
      <c r="AB9" s="87"/>
      <c r="AC9" s="87"/>
      <c r="AD9" s="87"/>
      <c r="AE9" s="93"/>
      <c r="AF9" s="87"/>
      <c r="AG9" s="87"/>
      <c r="AH9" s="94"/>
      <c r="AI9" s="87"/>
      <c r="AJ9" s="95"/>
      <c r="AK9" s="87"/>
      <c r="AM9" s="21"/>
      <c r="AN9" s="21"/>
      <c r="AO9" s="21"/>
      <c r="AP9" s="21"/>
      <c r="AQ9" s="21"/>
      <c r="AR9" s="21"/>
      <c r="AS9" s="96"/>
      <c r="AT9" s="96"/>
      <c r="AU9" s="21"/>
    </row>
    <row r="10" spans="1:47" s="17" customFormat="1" ht="18" customHeight="1">
      <c r="A10" s="128" t="s">
        <v>83</v>
      </c>
      <c r="B10" s="5">
        <v>3061306</v>
      </c>
      <c r="C10" s="1">
        <v>235000</v>
      </c>
      <c r="E10" s="134" t="s">
        <v>83</v>
      </c>
      <c r="F10" s="153">
        <v>6004462</v>
      </c>
      <c r="G10" s="153">
        <v>3833</v>
      </c>
      <c r="H10" s="91">
        <v>0.26300000000000001</v>
      </c>
      <c r="I10" s="145">
        <v>2410</v>
      </c>
      <c r="J10" s="155">
        <v>0.78300000000000003</v>
      </c>
      <c r="K10" s="90">
        <v>1</v>
      </c>
      <c r="L10" s="135">
        <v>283500000</v>
      </c>
      <c r="N10" s="140" t="s">
        <v>83</v>
      </c>
      <c r="O10" s="90">
        <f t="shared" si="0"/>
        <v>46.491818973031599</v>
      </c>
      <c r="P10" s="91">
        <f t="shared" si="1"/>
        <v>7.401026251703674E-2</v>
      </c>
      <c r="Q10" s="119">
        <f t="shared" si="2"/>
        <v>740102.62517036742</v>
      </c>
      <c r="S10" s="86"/>
      <c r="T10" s="86"/>
      <c r="W10" s="92"/>
      <c r="AB10" s="87"/>
      <c r="AC10" s="87"/>
      <c r="AD10" s="87"/>
      <c r="AE10" s="93"/>
      <c r="AF10" s="87"/>
      <c r="AG10" s="87"/>
      <c r="AH10" s="94"/>
      <c r="AI10" s="87"/>
      <c r="AJ10" s="95"/>
      <c r="AK10" s="87"/>
      <c r="AM10" s="21"/>
      <c r="AN10" s="21"/>
      <c r="AO10" s="21"/>
      <c r="AP10" s="21"/>
      <c r="AQ10" s="21"/>
      <c r="AR10" s="21"/>
      <c r="AS10" s="96"/>
      <c r="AT10" s="96"/>
      <c r="AU10" s="21"/>
    </row>
    <row r="11" spans="1:47" s="17" customFormat="1" ht="18" customHeight="1">
      <c r="A11" s="128" t="s">
        <v>82</v>
      </c>
      <c r="B11" s="5">
        <v>975818</v>
      </c>
      <c r="C11" s="1">
        <v>12800</v>
      </c>
      <c r="E11" s="134" t="s">
        <v>82</v>
      </c>
      <c r="F11" s="153">
        <v>2956209</v>
      </c>
      <c r="G11" s="153">
        <v>1910</v>
      </c>
      <c r="H11" s="91">
        <v>0.20699999999999999</v>
      </c>
      <c r="I11" s="145">
        <v>3310</v>
      </c>
      <c r="J11" s="155">
        <v>0.66700000000000004</v>
      </c>
      <c r="K11" s="90">
        <v>1</v>
      </c>
      <c r="L11" s="135">
        <v>121000000</v>
      </c>
      <c r="N11" s="140" t="s">
        <v>82</v>
      </c>
      <c r="O11" s="90">
        <f t="shared" si="0"/>
        <v>33.823337845025769</v>
      </c>
      <c r="P11" s="91">
        <f t="shared" si="1"/>
        <v>5.3843324877541336E-2</v>
      </c>
      <c r="Q11" s="119">
        <f t="shared" si="2"/>
        <v>538433.24877541338</v>
      </c>
      <c r="S11" s="86"/>
      <c r="T11" s="86"/>
      <c r="W11" s="92"/>
      <c r="AB11" s="87"/>
      <c r="AC11" s="87"/>
      <c r="AD11" s="87"/>
      <c r="AE11" s="93"/>
      <c r="AF11" s="87"/>
      <c r="AG11" s="87"/>
      <c r="AH11" s="94"/>
      <c r="AI11" s="87"/>
      <c r="AJ11" s="95"/>
      <c r="AK11" s="87"/>
      <c r="AM11" s="21"/>
      <c r="AN11" s="21"/>
      <c r="AO11" s="21"/>
      <c r="AP11" s="21"/>
      <c r="AQ11" s="21"/>
      <c r="AR11" s="21"/>
      <c r="AS11" s="96"/>
      <c r="AT11" s="96"/>
      <c r="AU11" s="21"/>
    </row>
    <row r="12" spans="1:47" s="17" customFormat="1" ht="18" customHeight="1">
      <c r="A12" s="128" t="s">
        <v>155</v>
      </c>
      <c r="B12" s="5">
        <v>433443</v>
      </c>
      <c r="C12" s="1">
        <v>340000</v>
      </c>
      <c r="E12" s="134" t="s">
        <v>155</v>
      </c>
      <c r="F12" s="153">
        <v>758493</v>
      </c>
      <c r="G12" s="153">
        <v>4388</v>
      </c>
      <c r="H12" s="91">
        <v>0.34899999999999998</v>
      </c>
      <c r="I12" s="146">
        <v>2280</v>
      </c>
      <c r="J12" s="155">
        <v>0.82699999999999996</v>
      </c>
      <c r="K12" s="143">
        <v>2</v>
      </c>
      <c r="L12" s="144">
        <v>35300000</v>
      </c>
      <c r="N12" s="140" t="s">
        <v>155</v>
      </c>
      <c r="O12" s="90">
        <f t="shared" si="0"/>
        <v>57.071095604290086</v>
      </c>
      <c r="P12" s="91">
        <f t="shared" si="1"/>
        <v>9.0851398398899552E-2</v>
      </c>
      <c r="Q12" s="119">
        <f t="shared" si="2"/>
        <v>908513.98398899555</v>
      </c>
      <c r="S12" s="86"/>
      <c r="T12" s="86"/>
      <c r="W12" s="92"/>
      <c r="AB12" s="87"/>
      <c r="AC12" s="87"/>
      <c r="AD12" s="87"/>
      <c r="AE12" s="93"/>
      <c r="AF12" s="87"/>
      <c r="AG12" s="87"/>
      <c r="AH12" s="94"/>
      <c r="AI12" s="87"/>
      <c r="AJ12" s="95"/>
      <c r="AK12" s="87"/>
      <c r="AM12" s="21"/>
      <c r="AN12" s="21"/>
      <c r="AO12" s="21"/>
      <c r="AP12" s="21"/>
      <c r="AQ12" s="21"/>
      <c r="AR12" s="21"/>
      <c r="AS12" s="96"/>
      <c r="AT12" s="96"/>
      <c r="AU12" s="21"/>
    </row>
    <row r="13" spans="1:47" s="17" customFormat="1" ht="18" customHeight="1">
      <c r="A13" s="128" t="s">
        <v>149</v>
      </c>
      <c r="B13" s="5">
        <v>4198125</v>
      </c>
      <c r="C13" s="1">
        <v>68000</v>
      </c>
      <c r="E13" s="134" t="s">
        <v>149</v>
      </c>
      <c r="F13" s="153">
        <v>15169513</v>
      </c>
      <c r="G13" s="153">
        <v>4208</v>
      </c>
      <c r="H13" s="91">
        <v>0.18099999999999999</v>
      </c>
      <c r="I13" s="146">
        <v>3540</v>
      </c>
      <c r="J13" s="155">
        <v>0.54800000000000004</v>
      </c>
      <c r="K13" s="143">
        <v>1</v>
      </c>
      <c r="L13" s="144">
        <v>90000000</v>
      </c>
      <c r="N13" s="140" t="s">
        <v>149</v>
      </c>
      <c r="O13" s="90">
        <f t="shared" si="0"/>
        <v>37.683546966715127</v>
      </c>
      <c r="P13" s="91">
        <f t="shared" si="1"/>
        <v>5.9988386455635576E-2</v>
      </c>
      <c r="Q13" s="119">
        <f t="shared" si="2"/>
        <v>599883.86455635575</v>
      </c>
      <c r="S13" s="86"/>
      <c r="T13" s="86"/>
      <c r="W13" s="92"/>
      <c r="AB13" s="87"/>
      <c r="AC13" s="87"/>
      <c r="AD13" s="87"/>
      <c r="AE13" s="93"/>
      <c r="AF13" s="87"/>
      <c r="AG13" s="87"/>
      <c r="AH13" s="94"/>
      <c r="AI13" s="87"/>
      <c r="AJ13" s="95"/>
      <c r="AK13" s="87"/>
      <c r="AM13" s="21"/>
      <c r="AN13" s="21"/>
      <c r="AO13" s="21"/>
      <c r="AP13" s="21"/>
      <c r="AQ13" s="21"/>
      <c r="AR13" s="21"/>
      <c r="AS13" s="96"/>
      <c r="AT13" s="96"/>
      <c r="AU13" s="21"/>
    </row>
    <row r="14" spans="1:47" s="17" customFormat="1" ht="18" customHeight="1">
      <c r="A14" s="128" t="s">
        <v>88</v>
      </c>
      <c r="B14" s="5">
        <v>1981902</v>
      </c>
      <c r="C14" s="1">
        <v>19400</v>
      </c>
      <c r="E14" s="134" t="s">
        <v>88</v>
      </c>
      <c r="F14" s="153">
        <v>2811005</v>
      </c>
      <c r="G14" s="153">
        <v>1233</v>
      </c>
      <c r="H14" s="148">
        <v>0.41099999999999998</v>
      </c>
      <c r="I14" s="149">
        <v>2460</v>
      </c>
      <c r="J14" s="155">
        <v>0.82399999999999995</v>
      </c>
      <c r="K14" s="150">
        <v>1</v>
      </c>
      <c r="L14" s="151">
        <v>102000000</v>
      </c>
      <c r="N14" s="140" t="s">
        <v>88</v>
      </c>
      <c r="O14" s="90">
        <f t="shared" si="0"/>
        <v>57.134110563101515</v>
      </c>
      <c r="P14" s="91">
        <f t="shared" si="1"/>
        <v>9.0951711824942078E-2</v>
      </c>
      <c r="Q14" s="119">
        <f t="shared" si="2"/>
        <v>909517.11824942078</v>
      </c>
      <c r="S14" s="86"/>
      <c r="T14" s="86"/>
      <c r="W14" s="92"/>
      <c r="AB14" s="87"/>
      <c r="AC14" s="87"/>
      <c r="AD14" s="87"/>
      <c r="AE14" s="93"/>
      <c r="AF14" s="87"/>
      <c r="AG14" s="87"/>
      <c r="AH14" s="94"/>
      <c r="AI14" s="87"/>
      <c r="AJ14" s="95"/>
      <c r="AK14" s="87"/>
      <c r="AM14" s="21"/>
      <c r="AN14" s="21"/>
      <c r="AO14" s="21"/>
      <c r="AP14" s="21"/>
      <c r="AQ14" s="21"/>
      <c r="AR14" s="21"/>
      <c r="AS14" s="96"/>
      <c r="AT14" s="96"/>
      <c r="AU14" s="21"/>
    </row>
    <row r="15" spans="1:47" s="97" customFormat="1" ht="18" customHeight="1" thickBot="1">
      <c r="E15" s="120" t="s">
        <v>209</v>
      </c>
      <c r="F15" s="122">
        <f t="shared" ref="F15:L15" si="3">AVERAGE(F3:F14)</f>
        <v>12221748.666666666</v>
      </c>
      <c r="G15" s="122">
        <f t="shared" si="3"/>
        <v>36932.5</v>
      </c>
      <c r="H15" s="154">
        <f t="shared" si="3"/>
        <v>0.3009436526425463</v>
      </c>
      <c r="I15" s="121">
        <f t="shared" si="3"/>
        <v>3549.1666666666665</v>
      </c>
      <c r="J15" s="122">
        <f t="shared" si="3"/>
        <v>0.67625000000000002</v>
      </c>
      <c r="K15" s="122">
        <f t="shared" si="3"/>
        <v>1.9166666666666667</v>
      </c>
      <c r="L15" s="136">
        <f t="shared" si="3"/>
        <v>352129749.45454544</v>
      </c>
      <c r="M15" s="17"/>
      <c r="N15" s="129"/>
      <c r="O15" s="130"/>
      <c r="P15" s="131"/>
      <c r="Q15" s="132"/>
      <c r="R15" s="17"/>
      <c r="S15" s="17"/>
      <c r="T15" s="17"/>
      <c r="U15" s="17"/>
      <c r="V15" s="17"/>
      <c r="W15" s="17"/>
      <c r="AA15" s="98"/>
      <c r="AB15" s="98"/>
      <c r="AC15" s="98"/>
      <c r="AD15" s="98"/>
      <c r="AE15" s="99"/>
      <c r="AF15" s="98"/>
      <c r="AG15" s="98"/>
      <c r="AH15" s="100"/>
      <c r="AM15" s="101"/>
      <c r="AN15" s="101"/>
      <c r="AO15" s="101"/>
      <c r="AP15" s="101"/>
      <c r="AQ15" s="101"/>
      <c r="AR15" s="101"/>
      <c r="AS15" s="101"/>
      <c r="AT15" s="102"/>
      <c r="AU15" s="101"/>
    </row>
    <row r="16" spans="1:47" s="17" customFormat="1" ht="18" customHeight="1">
      <c r="E16" s="123" t="s">
        <v>210</v>
      </c>
      <c r="F16" s="133">
        <f t="shared" ref="F16:L16" si="4">STDEV(F3:F14)</f>
        <v>14248022.268818136</v>
      </c>
      <c r="G16" s="133">
        <f t="shared" si="4"/>
        <v>75638.535360922047</v>
      </c>
      <c r="H16" s="152">
        <f t="shared" si="4"/>
        <v>7.5155204147734342E-2</v>
      </c>
      <c r="I16" s="124">
        <f t="shared" si="4"/>
        <v>1911.9597672323418</v>
      </c>
      <c r="J16" s="124">
        <f t="shared" si="4"/>
        <v>0.2025941419775909</v>
      </c>
      <c r="K16" s="124">
        <f t="shared" si="4"/>
        <v>0.90033663737851988</v>
      </c>
      <c r="L16" s="137">
        <f t="shared" si="4"/>
        <v>546593823.54680252</v>
      </c>
      <c r="O16" s="78"/>
      <c r="AM16" s="21"/>
      <c r="AN16" s="21"/>
      <c r="AO16" s="21"/>
      <c r="AP16" s="21"/>
      <c r="AQ16" s="21"/>
      <c r="AR16" s="21"/>
      <c r="AS16" s="21"/>
      <c r="AT16" s="103"/>
      <c r="AU16" s="21"/>
    </row>
    <row r="17" spans="2:47" s="17" customFormat="1" ht="31" customHeight="1">
      <c r="C17"/>
      <c r="K17" s="18"/>
      <c r="M17"/>
      <c r="N17"/>
      <c r="O17" s="78"/>
      <c r="T17" s="79"/>
      <c r="AM17" s="21"/>
      <c r="AN17" s="21"/>
      <c r="AO17" s="21"/>
      <c r="AP17" s="21"/>
      <c r="AQ17" s="21"/>
      <c r="AR17" s="21"/>
      <c r="AS17" s="21"/>
      <c r="AT17" s="21"/>
      <c r="AU17" s="21"/>
    </row>
    <row r="18" spans="2:47" ht="45" customHeight="1">
      <c r="E18" s="81" t="s">
        <v>211</v>
      </c>
      <c r="F18" s="85">
        <v>25</v>
      </c>
      <c r="G18" s="85">
        <v>15</v>
      </c>
      <c r="H18" s="85">
        <v>20</v>
      </c>
      <c r="I18" s="85">
        <v>25</v>
      </c>
      <c r="J18" s="85">
        <v>10</v>
      </c>
      <c r="K18" s="85">
        <v>10</v>
      </c>
      <c r="L18" s="85">
        <v>1</v>
      </c>
      <c r="O18" s="2"/>
      <c r="T18" s="39"/>
    </row>
    <row r="19" spans="2:47">
      <c r="E19" s="35"/>
      <c r="F19" s="2"/>
      <c r="G19" s="2"/>
      <c r="H19" s="2"/>
      <c r="I19" s="2"/>
      <c r="J19" s="2"/>
      <c r="K19" s="2"/>
      <c r="L19" s="2"/>
      <c r="O19" s="2"/>
      <c r="AF19" s="25"/>
      <c r="AG19" s="36"/>
    </row>
    <row r="20" spans="2:47">
      <c r="F20" s="2"/>
      <c r="G20" s="2"/>
      <c r="H20" s="2"/>
      <c r="I20" s="2"/>
      <c r="J20" s="2"/>
      <c r="K20" s="2"/>
      <c r="L20" s="2"/>
      <c r="O20" s="2"/>
      <c r="AF20" s="25"/>
      <c r="AG20" s="37"/>
    </row>
    <row r="21" spans="2:47">
      <c r="D21" s="3" t="s">
        <v>212</v>
      </c>
      <c r="F21" s="2"/>
      <c r="G21" s="2"/>
      <c r="H21" s="2"/>
      <c r="I21" s="2"/>
      <c r="J21" s="2"/>
      <c r="K21" s="2"/>
      <c r="L21" s="2"/>
    </row>
    <row r="22" spans="2:47" ht="66.5" customHeight="1">
      <c r="B22" s="105"/>
      <c r="D22" s="81"/>
      <c r="E22" s="81" t="s">
        <v>202</v>
      </c>
      <c r="F22" s="84" t="str">
        <f>_xlfn.CONCAT(F2," Index")</f>
        <v>High Net Worth Audience volume (GWI) Index</v>
      </c>
      <c r="G22" s="84"/>
      <c r="H22" s="126" t="s">
        <v>213</v>
      </c>
      <c r="I22" s="84" t="str">
        <f>_xlfn.CONCAT(I2," Index")</f>
        <v>Proximity to Maldives (inverted) Index</v>
      </c>
      <c r="J22" s="84" t="str">
        <f>_xlfn.CONCAT(J2," Index")</f>
        <v>High Savings/Investment Index</v>
      </c>
      <c r="K22" s="84" t="str">
        <f>_xlfn.CONCAT(K2," Index")</f>
        <v>Market Tiering (based on Maldives travel volumes) - KSA &amp; UAE affinity to developer Index</v>
      </c>
      <c r="L22" s="84" t="str">
        <f>_xlfn.CONCAT(L2," Index")</f>
        <v>Total Population Index</v>
      </c>
      <c r="O22" s="5"/>
      <c r="P22" s="75"/>
      <c r="Q22" s="106"/>
    </row>
    <row r="23" spans="2:47" s="17" customFormat="1" ht="19" customHeight="1">
      <c r="B23" s="105"/>
      <c r="D23" s="89" t="s">
        <v>214</v>
      </c>
      <c r="E23" s="134" t="s">
        <v>206</v>
      </c>
      <c r="F23" s="90">
        <f>_xlfn.NORM.DIST(F3,F$15,F$16,TRUE)</f>
        <v>0.27525290841210015</v>
      </c>
      <c r="G23" s="90">
        <f>_xlfn.NORM.DIST(G3,G$15,G$16,TRUE)</f>
        <v>0.45234695600015362</v>
      </c>
      <c r="H23" s="90">
        <f>_xlfn.NORM.DIST(H3,H$15,H$16,TRUE)</f>
        <v>0.42288108378222489</v>
      </c>
      <c r="I23" s="90">
        <f>1-_xlfn.NORM.DIST(I3,I$15,I$16,TRUE)</f>
        <v>0.18128027276906211</v>
      </c>
      <c r="J23" s="90">
        <f t="shared" ref="J23:L34" si="5">_xlfn.NORM.DIST(J3,J$15,J$16,TRUE)</f>
        <v>0.77898756266911062</v>
      </c>
      <c r="K23" s="90">
        <f t="shared" si="5"/>
        <v>0.88556090776871643</v>
      </c>
      <c r="L23" s="90">
        <f t="shared" si="5"/>
        <v>0.3028276668630836</v>
      </c>
      <c r="N23"/>
      <c r="O23" s="5"/>
      <c r="P23" s="75"/>
      <c r="Q23" s="106"/>
      <c r="AC23" s="87"/>
      <c r="AF23" s="87"/>
      <c r="AH23" s="88"/>
      <c r="AM23" s="21"/>
      <c r="AN23" s="21"/>
      <c r="AO23" s="21"/>
      <c r="AP23" s="21"/>
      <c r="AQ23" s="21"/>
      <c r="AR23" s="21"/>
      <c r="AS23" s="21"/>
      <c r="AT23" s="21"/>
      <c r="AU23" s="21"/>
    </row>
    <row r="24" spans="2:47" s="17" customFormat="1" ht="19" customHeight="1">
      <c r="B24" s="105"/>
      <c r="D24" s="89" t="s">
        <v>214</v>
      </c>
      <c r="E24" s="134" t="s">
        <v>207</v>
      </c>
      <c r="F24" s="90">
        <f>_xlfn.NORM.DIST(F4,F$15,F$16,TRUE)</f>
        <v>0.87811790863047001</v>
      </c>
      <c r="G24" s="90">
        <f t="shared" ref="G24:H34" si="6">_xlfn.NORM.DIST(G4,G$15,G$16,TRUE)</f>
        <v>0.99775235564316911</v>
      </c>
      <c r="H24" s="90">
        <f>_xlfn.NORM.DIST(H4,H$15,H$16,TRUE)</f>
        <v>0.23236845249650639</v>
      </c>
      <c r="I24" s="90">
        <f>1-_xlfn.NORM.DIST(I4,I$15,I$16,TRUE)</f>
        <v>3.5299322347335238E-3</v>
      </c>
      <c r="J24" s="90">
        <f t="shared" si="5"/>
        <v>0.71945096592816116</v>
      </c>
      <c r="K24" s="90">
        <f t="shared" si="5"/>
        <v>0.53687263310474775</v>
      </c>
      <c r="L24" s="90">
        <f t="shared" si="5"/>
        <v>0.25971456713697727</v>
      </c>
      <c r="N24"/>
      <c r="O24" s="5"/>
      <c r="P24" s="75"/>
      <c r="Q24" s="106"/>
      <c r="AC24" s="87"/>
      <c r="AF24" s="87"/>
      <c r="AH24" s="88"/>
      <c r="AM24" s="21"/>
      <c r="AN24" s="21"/>
      <c r="AO24" s="21"/>
      <c r="AP24" s="21"/>
      <c r="AQ24" s="21"/>
      <c r="AR24" s="21"/>
      <c r="AS24" s="21"/>
      <c r="AT24" s="21"/>
      <c r="AU24" s="21"/>
    </row>
    <row r="25" spans="2:47" s="17" customFormat="1" ht="19" customHeight="1">
      <c r="B25" s="105"/>
      <c r="D25" s="89" t="s">
        <v>214</v>
      </c>
      <c r="E25" s="134" t="s">
        <v>61</v>
      </c>
      <c r="F25" s="90">
        <f t="shared" ref="F25:F34" si="7">_xlfn.NORM.DIST(F5,F$15,F$16,TRUE)</f>
        <v>0.92593155636525526</v>
      </c>
      <c r="G25" s="90">
        <f t="shared" si="6"/>
        <v>0.37164547300454287</v>
      </c>
      <c r="H25" s="90">
        <f t="shared" si="6"/>
        <v>0.85661036508620447</v>
      </c>
      <c r="I25" s="90">
        <f t="shared" ref="I25:I34" si="8">1-_xlfn.NORM.DIST(I5,I$15,I$16,TRUE)</f>
        <v>0.83195698659470729</v>
      </c>
      <c r="J25" s="90">
        <f t="shared" si="5"/>
        <v>0.22174581283639991</v>
      </c>
      <c r="K25" s="90">
        <f t="shared" si="5"/>
        <v>0.88556090776871643</v>
      </c>
      <c r="L25" s="90">
        <f t="shared" si="5"/>
        <v>0.98017028712023746</v>
      </c>
      <c r="N25"/>
      <c r="O25" s="5"/>
      <c r="P25" s="75"/>
      <c r="Q25" s="106"/>
      <c r="AC25" s="87"/>
      <c r="AF25" s="87"/>
      <c r="AH25" s="88"/>
      <c r="AM25" s="21"/>
      <c r="AN25" s="21"/>
      <c r="AO25" s="21"/>
      <c r="AP25" s="21"/>
      <c r="AQ25" s="21"/>
      <c r="AR25" s="21"/>
      <c r="AS25" s="21"/>
      <c r="AT25" s="21"/>
      <c r="AU25" s="21"/>
    </row>
    <row r="26" spans="2:47" s="17" customFormat="1" ht="19" customHeight="1">
      <c r="B26" s="105"/>
      <c r="D26" s="89" t="s">
        <v>214</v>
      </c>
      <c r="E26" s="134" t="s">
        <v>90</v>
      </c>
      <c r="F26" s="90">
        <f t="shared" si="7"/>
        <v>0.27254792104578823</v>
      </c>
      <c r="G26" s="90">
        <f t="shared" si="6"/>
        <v>0.31653553582472826</v>
      </c>
      <c r="H26" s="90">
        <f t="shared" si="6"/>
        <v>0.28386440435118715</v>
      </c>
      <c r="I26" s="90">
        <f t="shared" si="8"/>
        <v>0.5559783288407707</v>
      </c>
      <c r="J26" s="90">
        <f t="shared" si="5"/>
        <v>3.1644104568462054E-2</v>
      </c>
      <c r="K26" s="90">
        <f t="shared" si="5"/>
        <v>0.15430626237279235</v>
      </c>
      <c r="L26" s="90">
        <f t="shared" si="5"/>
        <v>0.3356008218607498</v>
      </c>
      <c r="N26"/>
      <c r="O26" s="5"/>
      <c r="P26" s="75"/>
      <c r="Q26" s="106"/>
      <c r="AC26" s="87"/>
      <c r="AF26" s="87"/>
      <c r="AH26" s="88"/>
      <c r="AM26" s="21"/>
      <c r="AN26" s="21"/>
      <c r="AO26" s="21"/>
      <c r="AP26" s="21"/>
      <c r="AQ26" s="21"/>
      <c r="AR26" s="21"/>
      <c r="AS26" s="21"/>
      <c r="AT26" s="21"/>
      <c r="AU26" s="21"/>
    </row>
    <row r="27" spans="2:47" s="17" customFormat="1" ht="19" customHeight="1">
      <c r="B27" s="105"/>
      <c r="D27" s="89" t="s">
        <v>214</v>
      </c>
      <c r="E27" s="134" t="s">
        <v>139</v>
      </c>
      <c r="F27" s="90">
        <f t="shared" si="7"/>
        <v>0.37697590323772651</v>
      </c>
      <c r="G27" s="90">
        <f t="shared" si="6"/>
        <v>0.3529995002484807</v>
      </c>
      <c r="H27" s="90">
        <f t="shared" si="6"/>
        <v>0.40049717967094139</v>
      </c>
      <c r="I27" s="90">
        <f t="shared" si="8"/>
        <v>0.39064499935879826</v>
      </c>
      <c r="J27" s="90">
        <f t="shared" si="5"/>
        <v>5.2590966227381082E-2</v>
      </c>
      <c r="K27" s="90">
        <f t="shared" si="5"/>
        <v>0.88556090776871643</v>
      </c>
      <c r="L27" s="90">
        <f t="shared" si="5"/>
        <v>0.35127380221026788</v>
      </c>
      <c r="N27"/>
      <c r="O27" s="5"/>
      <c r="P27" s="75"/>
      <c r="Q27" s="106"/>
      <c r="AC27" s="87"/>
      <c r="AF27" s="87"/>
      <c r="AH27" s="88"/>
      <c r="AM27" s="21"/>
      <c r="AN27" s="21"/>
      <c r="AO27" s="21"/>
      <c r="AP27" s="21"/>
      <c r="AQ27" s="21"/>
      <c r="AR27" s="21"/>
      <c r="AS27" s="21"/>
      <c r="AT27" s="21"/>
      <c r="AU27" s="21"/>
    </row>
    <row r="28" spans="2:47" s="17" customFormat="1" ht="19" customHeight="1">
      <c r="B28" s="105"/>
      <c r="D28" s="89" t="s">
        <v>214</v>
      </c>
      <c r="E28" s="134" t="s">
        <v>120</v>
      </c>
      <c r="F28" s="90">
        <f t="shared" si="7"/>
        <v>0.98101418947794539</v>
      </c>
      <c r="G28" s="90">
        <f t="shared" si="6"/>
        <v>0.86872575111176098</v>
      </c>
      <c r="H28" s="90">
        <f t="shared" si="6"/>
        <v>0.76401051367260198</v>
      </c>
      <c r="I28" s="90">
        <f t="shared" si="8"/>
        <v>0.48105418791895671</v>
      </c>
      <c r="J28" s="90">
        <f t="shared" si="5"/>
        <v>0.63096582075201657</v>
      </c>
      <c r="K28" s="90">
        <f t="shared" si="5"/>
        <v>0.88556090776871643</v>
      </c>
      <c r="L28" s="90">
        <f t="shared" si="5"/>
        <v>0.97463055328125991</v>
      </c>
      <c r="N28"/>
      <c r="O28" s="112"/>
      <c r="P28" s="75"/>
      <c r="Q28" s="106"/>
      <c r="AC28" s="87"/>
      <c r="AF28" s="87"/>
      <c r="AH28" s="88"/>
      <c r="AM28" s="21"/>
      <c r="AN28" s="21"/>
      <c r="AO28" s="21"/>
      <c r="AP28" s="21"/>
      <c r="AQ28" s="21"/>
      <c r="AR28" s="21"/>
      <c r="AS28" s="21"/>
      <c r="AT28" s="21"/>
      <c r="AU28" s="21"/>
    </row>
    <row r="29" spans="2:47" s="17" customFormat="1" ht="19" customHeight="1">
      <c r="B29" s="105"/>
      <c r="D29" s="89" t="s">
        <v>214</v>
      </c>
      <c r="E29" s="134" t="s">
        <v>208</v>
      </c>
      <c r="F29" s="90">
        <f t="shared" si="7"/>
        <v>0.20424521084479841</v>
      </c>
      <c r="G29" s="90">
        <f t="shared" si="6"/>
        <v>0.33573103035507057</v>
      </c>
      <c r="H29" s="90">
        <f t="shared" si="6"/>
        <v>0.88716290632880068</v>
      </c>
      <c r="I29" s="90">
        <f t="shared" si="8"/>
        <v>0.8072435002005407</v>
      </c>
      <c r="J29" s="90">
        <f t="shared" si="5"/>
        <v>0.89208563595608503</v>
      </c>
      <c r="K29" s="90">
        <f t="shared" si="5"/>
        <v>0.53687263310474775</v>
      </c>
      <c r="L29" s="90">
        <f t="shared" si="5"/>
        <v>0.26662596145814554</v>
      </c>
      <c r="N29"/>
      <c r="O29" s="112"/>
      <c r="P29" s="75"/>
      <c r="Q29" s="106"/>
      <c r="AC29" s="87"/>
      <c r="AF29" s="87"/>
      <c r="AH29" s="88"/>
      <c r="AM29" s="21"/>
      <c r="AN29" s="21"/>
      <c r="AO29" s="21"/>
      <c r="AP29" s="21"/>
      <c r="AQ29" s="21"/>
      <c r="AR29" s="21"/>
      <c r="AS29" s="21"/>
      <c r="AT29" s="21"/>
      <c r="AU29" s="21"/>
    </row>
    <row r="30" spans="2:47" s="17" customFormat="1" ht="19" customHeight="1">
      <c r="B30" s="105"/>
      <c r="D30" s="89" t="s">
        <v>214</v>
      </c>
      <c r="E30" s="134" t="s">
        <v>83</v>
      </c>
      <c r="F30" s="90">
        <f t="shared" si="7"/>
        <v>0.33128727714695017</v>
      </c>
      <c r="G30" s="90">
        <f t="shared" si="6"/>
        <v>0.3308377669151068</v>
      </c>
      <c r="H30" s="90">
        <f t="shared" si="6"/>
        <v>0.30682486413059085</v>
      </c>
      <c r="I30" s="90">
        <f t="shared" si="8"/>
        <v>0.72434925382023763</v>
      </c>
      <c r="J30" s="90">
        <f t="shared" si="5"/>
        <v>0.70087387614454089</v>
      </c>
      <c r="K30" s="90">
        <f t="shared" si="5"/>
        <v>0.15430626237279235</v>
      </c>
      <c r="L30" s="90">
        <f t="shared" si="5"/>
        <v>0.45004052734014777</v>
      </c>
      <c r="N30"/>
      <c r="O30" s="112"/>
      <c r="P30"/>
      <c r="Q30" s="5"/>
      <c r="AC30" s="87"/>
      <c r="AF30" s="87"/>
      <c r="AH30" s="88"/>
      <c r="AM30" s="21"/>
      <c r="AN30" s="21"/>
      <c r="AO30" s="21"/>
      <c r="AP30" s="21"/>
      <c r="AQ30" s="21"/>
      <c r="AR30" s="21"/>
      <c r="AS30" s="21"/>
      <c r="AT30" s="21"/>
      <c r="AU30" s="21"/>
    </row>
    <row r="31" spans="2:47" s="17" customFormat="1" ht="19" customHeight="1">
      <c r="B31" s="105"/>
      <c r="D31" s="89" t="s">
        <v>214</v>
      </c>
      <c r="E31" s="134" t="s">
        <v>82</v>
      </c>
      <c r="F31" s="90">
        <f t="shared" si="7"/>
        <v>0.25774807757789697</v>
      </c>
      <c r="G31" s="90">
        <f t="shared" si="6"/>
        <v>0.32167337934068618</v>
      </c>
      <c r="H31" s="90">
        <f t="shared" si="6"/>
        <v>0.10565063044963674</v>
      </c>
      <c r="I31" s="90">
        <f t="shared" si="8"/>
        <v>0.54977377122243776</v>
      </c>
      <c r="J31" s="90">
        <f t="shared" si="5"/>
        <v>0.48179150525341502</v>
      </c>
      <c r="K31" s="90">
        <f t="shared" si="5"/>
        <v>0.15430626237279235</v>
      </c>
      <c r="L31" s="90">
        <f t="shared" si="5"/>
        <v>0.33620064965229579</v>
      </c>
      <c r="N31"/>
      <c r="O31" s="112"/>
      <c r="P31"/>
      <c r="Q31" s="5"/>
      <c r="AC31" s="87"/>
      <c r="AF31" s="87"/>
      <c r="AH31" s="88"/>
      <c r="AM31" s="21"/>
      <c r="AN31" s="21"/>
      <c r="AO31" s="21"/>
      <c r="AP31" s="21"/>
      <c r="AQ31" s="21"/>
      <c r="AR31" s="21"/>
      <c r="AS31" s="21"/>
      <c r="AT31" s="21"/>
      <c r="AU31" s="21"/>
    </row>
    <row r="32" spans="2:47" s="17" customFormat="1" ht="19" customHeight="1">
      <c r="B32" s="105"/>
      <c r="D32" s="89" t="s">
        <v>214</v>
      </c>
      <c r="E32" s="134" t="s">
        <v>155</v>
      </c>
      <c r="F32" s="90">
        <f t="shared" si="7"/>
        <v>0.21053951316376612</v>
      </c>
      <c r="G32" s="90">
        <f t="shared" si="6"/>
        <v>0.33350199210432652</v>
      </c>
      <c r="H32" s="90">
        <f t="shared" si="6"/>
        <v>0.73872775437385607</v>
      </c>
      <c r="I32" s="90">
        <f t="shared" si="8"/>
        <v>0.74659213836210925</v>
      </c>
      <c r="J32" s="90">
        <f t="shared" si="5"/>
        <v>0.77159156088496583</v>
      </c>
      <c r="K32" s="90">
        <f t="shared" si="5"/>
        <v>0.53687263310474775</v>
      </c>
      <c r="L32" s="90">
        <f t="shared" si="5"/>
        <v>0.28107740720405339</v>
      </c>
      <c r="N32"/>
      <c r="O32" s="112"/>
      <c r="P32"/>
      <c r="Q32" s="5"/>
      <c r="AC32" s="87"/>
      <c r="AF32" s="87"/>
      <c r="AH32" s="88"/>
      <c r="AM32" s="21"/>
      <c r="AN32" s="21"/>
      <c r="AO32" s="21"/>
      <c r="AP32" s="21"/>
      <c r="AQ32" s="21"/>
      <c r="AR32" s="21"/>
      <c r="AS32" s="21"/>
      <c r="AT32" s="21"/>
      <c r="AU32" s="21"/>
    </row>
    <row r="33" spans="2:47" s="17" customFormat="1" ht="19" customHeight="1">
      <c r="B33" s="105"/>
      <c r="D33" s="89" t="s">
        <v>214</v>
      </c>
      <c r="E33" s="134" t="s">
        <v>149</v>
      </c>
      <c r="F33" s="90">
        <f t="shared" si="7"/>
        <v>0.58195187030173035</v>
      </c>
      <c r="G33" s="90">
        <f t="shared" si="6"/>
        <v>0.33263699035897276</v>
      </c>
      <c r="H33" s="90">
        <f t="shared" si="6"/>
        <v>5.5250417333499946E-2</v>
      </c>
      <c r="I33" s="90">
        <f t="shared" si="8"/>
        <v>0.50191267460564948</v>
      </c>
      <c r="J33" s="90">
        <f t="shared" si="5"/>
        <v>0.26335407639970643</v>
      </c>
      <c r="K33" s="90">
        <f t="shared" si="5"/>
        <v>0.15430626237279235</v>
      </c>
      <c r="L33" s="90">
        <f t="shared" si="5"/>
        <v>0.3157667542510596</v>
      </c>
      <c r="N33"/>
      <c r="O33" s="112"/>
      <c r="P33"/>
      <c r="Q33"/>
      <c r="AC33" s="87"/>
      <c r="AF33" s="87"/>
      <c r="AH33" s="88"/>
      <c r="AM33" s="21"/>
      <c r="AN33" s="21"/>
      <c r="AO33" s="21"/>
      <c r="AP33" s="21"/>
      <c r="AQ33" s="21"/>
      <c r="AR33" s="21"/>
      <c r="AS33" s="21"/>
      <c r="AT33" s="21"/>
      <c r="AU33" s="21"/>
    </row>
    <row r="34" spans="2:47" s="17" customFormat="1" ht="19" customHeight="1">
      <c r="B34" s="105"/>
      <c r="D34" s="89" t="s">
        <v>214</v>
      </c>
      <c r="E34" s="134" t="s">
        <v>88</v>
      </c>
      <c r="F34" s="90">
        <f t="shared" si="7"/>
        <v>0.254468198624207</v>
      </c>
      <c r="G34" s="90">
        <f t="shared" si="6"/>
        <v>0.31847230584669128</v>
      </c>
      <c r="H34" s="90">
        <f t="shared" si="6"/>
        <v>0.92845595984648566</v>
      </c>
      <c r="I34" s="90">
        <f t="shared" si="8"/>
        <v>0.71554577820341914</v>
      </c>
      <c r="J34" s="90">
        <f t="shared" si="5"/>
        <v>0.76708803441316087</v>
      </c>
      <c r="K34" s="90">
        <f t="shared" si="5"/>
        <v>0.15430626237279235</v>
      </c>
      <c r="L34" s="90">
        <f t="shared" si="5"/>
        <v>0.32361438992124913</v>
      </c>
      <c r="N34" s="105"/>
      <c r="O34" s="112"/>
      <c r="P34"/>
      <c r="Q34"/>
      <c r="AC34" s="87"/>
      <c r="AF34" s="87"/>
      <c r="AH34" s="88"/>
      <c r="AM34" s="21"/>
      <c r="AN34" s="21"/>
      <c r="AO34" s="21"/>
      <c r="AP34" s="21"/>
      <c r="AQ34" s="21"/>
      <c r="AR34" s="21"/>
      <c r="AS34" s="21"/>
      <c r="AT34" s="21"/>
      <c r="AU34" s="21"/>
    </row>
    <row r="35" spans="2:47" ht="15" customHeight="1">
      <c r="B35" s="75"/>
      <c r="C35" s="105"/>
      <c r="D35" s="105"/>
      <c r="E35" s="105"/>
      <c r="F35" s="106"/>
      <c r="G35" s="106"/>
      <c r="H35" s="105"/>
      <c r="I35" s="105"/>
      <c r="J35" s="105"/>
      <c r="K35" s="105"/>
    </row>
    <row r="36" spans="2:47" ht="15" customHeight="1">
      <c r="B36" s="75"/>
      <c r="C36" s="105"/>
      <c r="D36" s="105"/>
      <c r="E36" s="105"/>
      <c r="F36" s="106"/>
      <c r="G36" s="106"/>
      <c r="H36" s="105"/>
      <c r="I36" s="105"/>
      <c r="J36" s="105"/>
      <c r="K36" s="105"/>
    </row>
    <row r="37" spans="2:47" ht="15" customHeight="1">
      <c r="B37" s="75"/>
      <c r="C37" s="105"/>
      <c r="D37" s="105"/>
      <c r="E37" s="105"/>
      <c r="F37" s="106"/>
      <c r="G37" s="106"/>
      <c r="H37" s="105"/>
      <c r="I37" s="105"/>
      <c r="J37" s="105"/>
      <c r="K37" s="105"/>
    </row>
    <row r="38" spans="2:47" ht="15" customHeight="1">
      <c r="B38" s="75"/>
      <c r="C38" s="105"/>
      <c r="D38" s="105"/>
      <c r="E38" s="105"/>
      <c r="F38" s="106"/>
      <c r="G38" s="106"/>
      <c r="H38" s="105"/>
      <c r="I38" s="105"/>
      <c r="J38" s="105"/>
      <c r="K38" s="105"/>
    </row>
    <row r="39" spans="2:47" ht="15" customHeight="1">
      <c r="B39" s="75"/>
      <c r="C39" s="105"/>
      <c r="D39" s="105"/>
      <c r="E39" s="105"/>
      <c r="F39" s="106"/>
      <c r="G39" s="106"/>
      <c r="H39" s="105"/>
      <c r="I39" s="105"/>
      <c r="J39" s="105"/>
      <c r="K39" s="105"/>
    </row>
    <row r="40" spans="2:47" ht="15" customHeight="1">
      <c r="B40" s="75"/>
      <c r="C40" s="105"/>
      <c r="D40" s="105"/>
      <c r="E40" s="105"/>
      <c r="F40" s="106"/>
      <c r="G40" s="106"/>
      <c r="H40" s="105"/>
      <c r="I40" s="105"/>
      <c r="J40" s="105"/>
      <c r="K40" s="105"/>
    </row>
    <row r="41" spans="2:47" ht="15" customHeight="1">
      <c r="B41" s="75"/>
      <c r="C41" s="105"/>
      <c r="D41" s="105"/>
      <c r="E41" s="105"/>
      <c r="F41" s="106"/>
      <c r="G41" s="106"/>
      <c r="H41" s="105"/>
      <c r="I41" s="105"/>
      <c r="J41" s="105"/>
      <c r="K41" s="105"/>
    </row>
    <row r="42" spans="2:47" ht="15" customHeight="1">
      <c r="B42" s="75"/>
      <c r="C42" s="105"/>
      <c r="D42" s="105"/>
    </row>
    <row r="43" spans="2:47" ht="15" customHeight="1">
      <c r="B43" s="75"/>
      <c r="C43" s="105"/>
      <c r="D43" s="105"/>
    </row>
    <row r="44" spans="2:47" ht="15" customHeight="1">
      <c r="B44" s="75"/>
      <c r="C44" s="105"/>
      <c r="D44" s="105"/>
    </row>
    <row r="45" spans="2:47" ht="15" customHeight="1">
      <c r="B45" s="75"/>
      <c r="C45" s="105"/>
      <c r="D45" s="105"/>
    </row>
    <row r="46" spans="2:47" ht="15" customHeight="1">
      <c r="B46" s="75"/>
      <c r="C46" s="105"/>
      <c r="D46" s="105"/>
    </row>
    <row r="47" spans="2:47" ht="15" customHeight="1">
      <c r="B47" s="75"/>
      <c r="C47" s="105"/>
      <c r="D47" s="105"/>
    </row>
    <row r="48" spans="2:47" ht="15" customHeight="1">
      <c r="B48" s="75"/>
      <c r="C48" s="105"/>
      <c r="D48" s="105"/>
    </row>
    <row r="49" spans="2:22" ht="15" customHeight="1">
      <c r="B49" s="75"/>
      <c r="C49" s="105"/>
      <c r="D49" s="105"/>
    </row>
    <row r="50" spans="2:22" ht="15" customHeight="1">
      <c r="B50" s="75"/>
      <c r="C50" s="105"/>
      <c r="D50" s="105"/>
    </row>
    <row r="51" spans="2:22" ht="15" customHeight="1">
      <c r="B51" s="75"/>
      <c r="C51" s="105"/>
      <c r="D51" s="105"/>
    </row>
    <row r="52" spans="2:22" ht="15" customHeight="1">
      <c r="B52" s="75"/>
      <c r="C52" s="105"/>
      <c r="D52" s="105"/>
    </row>
    <row r="53" spans="2:22" ht="15" customHeight="1">
      <c r="B53" s="75"/>
      <c r="C53" s="105"/>
      <c r="D53" s="105"/>
    </row>
    <row r="54" spans="2:22" ht="15" customHeight="1">
      <c r="B54" s="75"/>
      <c r="C54" s="105"/>
      <c r="D54" s="105"/>
    </row>
    <row r="55" spans="2:22" ht="15" customHeight="1">
      <c r="B55" s="75"/>
      <c r="C55" s="105"/>
      <c r="D55" s="105"/>
    </row>
    <row r="56" spans="2:22" ht="15" customHeight="1">
      <c r="B56" s="75"/>
      <c r="C56" s="105"/>
      <c r="D56" s="105"/>
    </row>
    <row r="57" spans="2:22" ht="15" customHeight="1">
      <c r="B57" s="75"/>
      <c r="C57" s="105"/>
      <c r="D57" s="105"/>
    </row>
    <row r="58" spans="2:22" ht="15" customHeight="1">
      <c r="C58" s="105"/>
      <c r="D58" s="105"/>
    </row>
    <row r="59" spans="2:22" ht="15" customHeight="1">
      <c r="C59" s="105"/>
      <c r="D59" s="105"/>
      <c r="E59" s="142"/>
    </row>
    <row r="60" spans="2:22" ht="15" customHeight="1">
      <c r="C60" s="105"/>
      <c r="D60" s="105"/>
    </row>
    <row r="61" spans="2:22" ht="15" customHeight="1">
      <c r="C61" s="105"/>
      <c r="D61" s="105"/>
      <c r="E61" s="142"/>
    </row>
    <row r="62" spans="2:22" ht="15" customHeight="1">
      <c r="C62" s="105"/>
      <c r="D62" s="105"/>
    </row>
    <row r="63" spans="2:22" ht="15" customHeight="1">
      <c r="C63" s="105"/>
      <c r="D63" s="105"/>
      <c r="E63" s="142"/>
      <c r="M63" s="77"/>
      <c r="N63" s="77"/>
      <c r="O63" s="77"/>
      <c r="S63" s="67" t="s">
        <v>215</v>
      </c>
      <c r="U63" s="67" t="s">
        <v>216</v>
      </c>
      <c r="V63" s="67" t="s">
        <v>217</v>
      </c>
    </row>
    <row r="64" spans="2:22" ht="15" customHeight="1">
      <c r="C64" s="105"/>
      <c r="D64" s="105"/>
      <c r="E64" s="105"/>
      <c r="F64" s="105"/>
      <c r="G64" s="105"/>
      <c r="H64" s="105"/>
      <c r="I64" s="105"/>
      <c r="J64" s="105"/>
      <c r="K64" s="109"/>
      <c r="L64" s="77"/>
      <c r="M64" s="77"/>
      <c r="N64" s="77"/>
      <c r="O64" s="77"/>
      <c r="S64" s="68" t="s">
        <v>207</v>
      </c>
      <c r="U64" s="69">
        <v>7100000</v>
      </c>
      <c r="V64" s="69">
        <v>5530422</v>
      </c>
    </row>
    <row r="65" spans="3:22" ht="15" customHeight="1">
      <c r="C65" s="105"/>
      <c r="D65" s="105"/>
      <c r="E65" s="105"/>
      <c r="F65" s="105"/>
      <c r="G65" s="105"/>
      <c r="H65" s="105"/>
      <c r="I65" s="105"/>
      <c r="J65" s="105"/>
      <c r="K65" s="109"/>
      <c r="L65" s="77"/>
      <c r="M65" s="77"/>
      <c r="N65" s="77"/>
      <c r="O65" s="77"/>
      <c r="S65" s="70" t="s">
        <v>206</v>
      </c>
      <c r="U65" s="70" t="s">
        <v>218</v>
      </c>
      <c r="V65" s="71">
        <v>5125428</v>
      </c>
    </row>
    <row r="66" spans="3:22" ht="15" customHeight="1">
      <c r="C66" s="105"/>
      <c r="D66" s="105"/>
      <c r="E66" s="110"/>
      <c r="F66" s="105"/>
      <c r="G66" s="105"/>
      <c r="H66" s="105"/>
      <c r="I66" s="105"/>
      <c r="J66" s="105"/>
      <c r="K66" s="109"/>
      <c r="L66" s="77"/>
      <c r="M66" s="77"/>
      <c r="N66" s="77"/>
      <c r="O66" s="77"/>
      <c r="S66" s="68" t="s">
        <v>194</v>
      </c>
      <c r="U66" s="69">
        <v>100000</v>
      </c>
      <c r="V66" s="69">
        <v>732419</v>
      </c>
    </row>
    <row r="67" spans="3:22" ht="15" customHeight="1">
      <c r="C67" s="105"/>
      <c r="D67" s="105"/>
      <c r="E67" s="107"/>
      <c r="F67" s="105"/>
      <c r="G67" s="105"/>
      <c r="H67" s="105"/>
      <c r="I67" s="105"/>
      <c r="J67" s="110"/>
      <c r="K67" s="109"/>
      <c r="L67" s="77"/>
      <c r="M67" s="77"/>
      <c r="N67" s="77"/>
      <c r="O67" s="77"/>
      <c r="S67" s="70" t="s">
        <v>219</v>
      </c>
      <c r="U67" s="71">
        <v>550000</v>
      </c>
      <c r="V67" s="71">
        <v>995027</v>
      </c>
    </row>
    <row r="68" spans="3:22" ht="15" customHeight="1">
      <c r="C68" s="105"/>
      <c r="D68" s="105"/>
      <c r="E68" s="107"/>
      <c r="F68" s="105"/>
      <c r="G68" s="105"/>
      <c r="H68" s="105"/>
      <c r="I68" s="105"/>
      <c r="J68" s="107"/>
      <c r="K68" s="109"/>
      <c r="L68" s="77"/>
      <c r="M68" s="77"/>
      <c r="N68" s="77"/>
      <c r="O68" s="77"/>
      <c r="S68" s="68" t="s">
        <v>220</v>
      </c>
      <c r="U68" s="69">
        <v>700000</v>
      </c>
      <c r="V68" s="69">
        <v>1123999</v>
      </c>
    </row>
    <row r="69" spans="3:22" ht="15" customHeight="1">
      <c r="C69" s="105"/>
      <c r="D69" s="105"/>
      <c r="E69" s="107"/>
      <c r="F69" s="105"/>
      <c r="G69" s="105"/>
      <c r="H69" s="105"/>
      <c r="I69" s="105"/>
      <c r="J69" s="107"/>
      <c r="K69" s="109"/>
      <c r="L69" s="77"/>
      <c r="M69" s="77"/>
      <c r="N69" s="77"/>
      <c r="O69" s="77"/>
      <c r="S69" s="70" t="s">
        <v>172</v>
      </c>
      <c r="U69" s="71">
        <v>7100000</v>
      </c>
      <c r="V69" s="71">
        <v>5530422</v>
      </c>
    </row>
    <row r="70" spans="3:22" ht="15" customHeight="1">
      <c r="C70" s="105"/>
      <c r="D70" s="105"/>
      <c r="E70" s="107"/>
      <c r="F70" s="105"/>
      <c r="G70" s="105"/>
      <c r="H70" s="105"/>
      <c r="I70" s="105"/>
      <c r="J70" s="107"/>
      <c r="K70" s="109"/>
      <c r="L70" s="77"/>
      <c r="M70" s="77"/>
      <c r="N70" s="77"/>
      <c r="O70" s="77"/>
      <c r="S70" s="72" t="s">
        <v>177</v>
      </c>
      <c r="U70" s="72" t="s">
        <v>218</v>
      </c>
      <c r="V70" s="73">
        <v>5125428</v>
      </c>
    </row>
    <row r="71" spans="3:22" ht="15" customHeight="1">
      <c r="C71" s="105"/>
      <c r="D71" s="105"/>
      <c r="E71" s="107"/>
      <c r="F71" s="105"/>
      <c r="G71" s="105"/>
      <c r="H71" s="105"/>
      <c r="I71" s="105"/>
      <c r="J71" s="107"/>
      <c r="K71" s="109"/>
      <c r="L71" s="77"/>
      <c r="M71" s="77"/>
      <c r="N71" s="77"/>
      <c r="O71" s="77"/>
      <c r="S71" s="68" t="s">
        <v>187</v>
      </c>
      <c r="U71" s="69">
        <v>100000</v>
      </c>
      <c r="V71" s="69">
        <v>732419</v>
      </c>
    </row>
    <row r="72" spans="3:22" ht="15" customHeight="1">
      <c r="C72" s="105"/>
      <c r="D72" s="105"/>
      <c r="E72" s="108"/>
      <c r="F72" s="105"/>
      <c r="G72" s="105"/>
      <c r="H72" s="105"/>
      <c r="I72" s="105"/>
      <c r="J72" s="107"/>
      <c r="K72" s="109"/>
      <c r="L72" s="77"/>
      <c r="M72" s="77"/>
      <c r="N72" s="77"/>
      <c r="O72" s="77"/>
      <c r="S72" s="70" t="s">
        <v>168</v>
      </c>
      <c r="U72" s="71">
        <v>550000</v>
      </c>
      <c r="V72" s="71">
        <v>995027</v>
      </c>
    </row>
    <row r="73" spans="3:22" ht="15" customHeight="1">
      <c r="C73" s="105"/>
      <c r="D73" s="105"/>
      <c r="E73" s="108"/>
      <c r="F73" s="105"/>
      <c r="G73" s="105"/>
      <c r="H73" s="105"/>
      <c r="I73" s="105"/>
      <c r="J73" s="107"/>
      <c r="K73" s="109"/>
      <c r="L73" s="77"/>
      <c r="M73" s="77"/>
      <c r="N73" s="77"/>
      <c r="O73" s="77"/>
      <c r="S73" s="68" t="s">
        <v>165</v>
      </c>
      <c r="U73" s="69">
        <v>700000</v>
      </c>
      <c r="V73" s="69">
        <v>1123999</v>
      </c>
    </row>
    <row r="74" spans="3:22" ht="15" customHeight="1">
      <c r="C74" s="105"/>
      <c r="D74" s="105"/>
      <c r="E74" s="108"/>
      <c r="F74" s="105"/>
      <c r="G74" s="105"/>
      <c r="H74" s="105"/>
      <c r="I74" s="105"/>
      <c r="J74" s="107"/>
      <c r="K74" s="109"/>
      <c r="L74" s="77"/>
      <c r="M74" s="77"/>
      <c r="N74" s="77"/>
      <c r="O74" s="77"/>
      <c r="S74" s="70" t="s">
        <v>167</v>
      </c>
      <c r="U74" s="71">
        <v>2100000</v>
      </c>
      <c r="V74" s="71">
        <v>2072729</v>
      </c>
    </row>
    <row r="75" spans="3:22" ht="15" customHeight="1">
      <c r="C75" s="105"/>
      <c r="D75" s="105"/>
      <c r="E75" s="108"/>
      <c r="F75" s="105"/>
      <c r="G75" s="105"/>
      <c r="H75" s="105"/>
      <c r="I75" s="105"/>
      <c r="J75" s="107"/>
      <c r="K75" s="109"/>
      <c r="L75" s="77"/>
      <c r="M75" s="77"/>
      <c r="N75" s="77"/>
      <c r="O75" s="77"/>
      <c r="S75" s="68" t="s">
        <v>221</v>
      </c>
      <c r="U75" s="69">
        <v>400000</v>
      </c>
      <c r="V75" s="69">
        <v>1009352</v>
      </c>
    </row>
    <row r="76" spans="3:22" ht="15" customHeight="1">
      <c r="C76" s="105"/>
      <c r="D76" s="105"/>
      <c r="E76" s="108"/>
      <c r="F76" s="105"/>
      <c r="G76" s="105"/>
      <c r="H76" s="105"/>
      <c r="I76" s="105"/>
      <c r="J76" s="107"/>
      <c r="K76" s="109"/>
      <c r="L76" s="77"/>
      <c r="M76" s="77"/>
      <c r="N76" s="77"/>
      <c r="O76" s="77"/>
    </row>
    <row r="77" spans="3:22" ht="15" customHeight="1">
      <c r="C77" s="105"/>
      <c r="D77" s="105"/>
      <c r="E77" s="108"/>
      <c r="F77" s="105"/>
      <c r="G77" s="105"/>
      <c r="H77" s="105"/>
      <c r="I77" s="105"/>
      <c r="J77" s="107"/>
      <c r="K77" s="109"/>
      <c r="L77" s="77"/>
      <c r="M77" s="77"/>
      <c r="N77" s="77"/>
      <c r="O77" s="77"/>
    </row>
    <row r="78" spans="3:22" ht="15" customHeight="1">
      <c r="C78" s="105"/>
      <c r="D78" s="105"/>
      <c r="E78" s="108"/>
      <c r="F78" s="105"/>
      <c r="G78" s="105"/>
      <c r="H78" s="105"/>
      <c r="I78" s="105"/>
      <c r="J78" s="108"/>
      <c r="K78" s="109"/>
      <c r="L78" s="77"/>
      <c r="M78" s="77"/>
      <c r="N78" s="77"/>
      <c r="O78" s="77"/>
    </row>
    <row r="79" spans="3:22" ht="15" customHeight="1">
      <c r="C79" s="105"/>
      <c r="D79" s="105"/>
      <c r="E79" s="108"/>
      <c r="F79" s="105"/>
      <c r="G79" s="105"/>
      <c r="H79" s="105"/>
      <c r="I79" s="105"/>
      <c r="J79" s="108"/>
      <c r="K79" s="109"/>
      <c r="L79" s="77"/>
      <c r="M79" s="77"/>
      <c r="N79" s="77"/>
      <c r="O79" s="77"/>
    </row>
    <row r="80" spans="3:22" ht="15" customHeight="1">
      <c r="C80" s="105"/>
      <c r="D80" s="105"/>
      <c r="E80" s="108"/>
      <c r="F80" s="105"/>
      <c r="G80" s="105"/>
      <c r="H80" s="105"/>
      <c r="I80" s="105"/>
      <c r="J80" s="108"/>
      <c r="K80" s="109"/>
      <c r="L80" s="77"/>
      <c r="M80" s="77"/>
      <c r="N80" s="77"/>
      <c r="O80" s="77"/>
    </row>
    <row r="81" spans="3:15" ht="15" customHeight="1">
      <c r="C81" s="105"/>
      <c r="D81" s="105"/>
      <c r="E81" s="108"/>
      <c r="F81" s="105"/>
      <c r="G81" s="105"/>
      <c r="H81" s="105"/>
      <c r="I81" s="105"/>
      <c r="J81" s="108"/>
      <c r="K81" s="109"/>
      <c r="L81" s="77"/>
      <c r="M81" s="77"/>
      <c r="N81" s="77"/>
      <c r="O81" s="77"/>
    </row>
    <row r="82" spans="3:15" ht="15" customHeight="1">
      <c r="C82" s="105"/>
      <c r="D82" s="105"/>
      <c r="E82" s="108"/>
      <c r="F82" s="105"/>
      <c r="G82" s="105"/>
      <c r="H82" s="105"/>
      <c r="I82" s="105"/>
      <c r="J82" s="107"/>
      <c r="K82" s="109"/>
      <c r="L82" s="77"/>
      <c r="M82" s="77"/>
      <c r="N82" s="77"/>
      <c r="O82" s="77"/>
    </row>
    <row r="83" spans="3:15" ht="15" customHeight="1">
      <c r="C83" s="105"/>
      <c r="D83" s="105"/>
      <c r="E83" s="108"/>
      <c r="F83" s="105"/>
      <c r="G83" s="105"/>
      <c r="H83" s="105"/>
      <c r="I83" s="105"/>
      <c r="J83" s="108"/>
      <c r="K83" s="109"/>
      <c r="L83" s="77"/>
      <c r="M83" s="77"/>
      <c r="N83" s="77"/>
      <c r="O83" s="77"/>
    </row>
    <row r="84" spans="3:15" ht="15" customHeight="1">
      <c r="C84" s="105"/>
      <c r="D84" s="105"/>
      <c r="E84" s="108"/>
      <c r="F84" s="105"/>
      <c r="G84" s="105"/>
      <c r="H84" s="105"/>
      <c r="I84" s="105"/>
      <c r="J84" s="108"/>
      <c r="K84" s="109"/>
      <c r="L84" s="77"/>
      <c r="M84" s="77"/>
      <c r="N84" s="77"/>
      <c r="O84" s="77"/>
    </row>
    <row r="85" spans="3:15" ht="15" customHeight="1">
      <c r="C85" s="105"/>
      <c r="D85" s="105"/>
      <c r="E85" s="108"/>
      <c r="F85" s="105"/>
      <c r="G85" s="105"/>
      <c r="H85" s="105"/>
      <c r="I85" s="105"/>
      <c r="J85" s="108"/>
      <c r="K85" s="109"/>
      <c r="L85" s="77"/>
      <c r="M85" s="77"/>
      <c r="N85" s="77"/>
      <c r="O85" s="77"/>
    </row>
    <row r="86" spans="3:15" ht="15" customHeight="1">
      <c r="C86" s="105"/>
      <c r="D86" s="105"/>
      <c r="E86" s="107"/>
      <c r="F86" s="105"/>
      <c r="G86" s="105"/>
      <c r="H86" s="105"/>
      <c r="I86" s="105"/>
      <c r="J86" s="108"/>
      <c r="K86" s="109"/>
      <c r="L86" s="77"/>
      <c r="M86" s="77"/>
      <c r="N86" s="77"/>
      <c r="O86" s="77"/>
    </row>
    <row r="87" spans="3:15" ht="15" customHeight="1">
      <c r="C87" s="105"/>
      <c r="D87" s="105"/>
      <c r="E87" s="107"/>
      <c r="F87" s="105"/>
      <c r="G87" s="105"/>
      <c r="H87" s="105"/>
      <c r="I87" s="105"/>
      <c r="J87" s="108"/>
      <c r="K87" s="109"/>
      <c r="L87" s="77"/>
      <c r="M87" s="77"/>
      <c r="N87" s="77"/>
      <c r="O87" s="77"/>
    </row>
    <row r="88" spans="3:15" ht="15" customHeight="1">
      <c r="C88" s="105"/>
      <c r="D88" s="105"/>
      <c r="E88" s="107"/>
      <c r="F88" s="105"/>
      <c r="G88" s="105"/>
      <c r="H88" s="105"/>
      <c r="I88" s="105"/>
      <c r="J88" s="108"/>
      <c r="K88" s="109"/>
      <c r="L88" s="77"/>
      <c r="M88" s="77"/>
      <c r="N88" s="77"/>
      <c r="O88" s="77"/>
    </row>
    <row r="89" spans="3:15" ht="15" customHeight="1">
      <c r="C89" s="105"/>
      <c r="D89" s="105"/>
      <c r="E89" s="107"/>
      <c r="F89" s="105"/>
      <c r="G89" s="105"/>
      <c r="H89" s="105"/>
      <c r="I89" s="105"/>
      <c r="J89" s="108"/>
      <c r="K89" s="109"/>
      <c r="L89" s="77"/>
      <c r="M89" s="77"/>
      <c r="N89" s="77"/>
      <c r="O89" s="77"/>
    </row>
    <row r="90" spans="3:15" ht="15" customHeight="1">
      <c r="C90" s="105"/>
      <c r="D90" s="105"/>
      <c r="E90" s="107"/>
      <c r="F90" s="105"/>
      <c r="G90" s="105"/>
      <c r="H90" s="105"/>
      <c r="I90" s="105"/>
      <c r="J90" s="108"/>
      <c r="K90" s="109"/>
      <c r="L90" s="77"/>
      <c r="M90" s="77"/>
      <c r="N90" s="77"/>
      <c r="O90" s="77"/>
    </row>
    <row r="91" spans="3:15" ht="15" customHeight="1">
      <c r="C91" s="105"/>
      <c r="D91" s="105"/>
      <c r="E91" s="107"/>
      <c r="F91" s="105"/>
      <c r="G91" s="105"/>
      <c r="H91" s="105"/>
      <c r="I91" s="105"/>
      <c r="J91" s="108"/>
      <c r="K91" s="105"/>
    </row>
    <row r="92" spans="3:15" ht="15" customHeight="1">
      <c r="C92" s="105"/>
      <c r="D92" s="105"/>
      <c r="E92" s="107"/>
      <c r="F92" s="105"/>
      <c r="G92" s="105"/>
      <c r="H92" s="105"/>
      <c r="I92" s="105"/>
      <c r="J92" s="107"/>
      <c r="K92" s="105"/>
    </row>
    <row r="93" spans="3:15" ht="15" customHeight="1">
      <c r="C93" s="105"/>
      <c r="D93" s="105"/>
      <c r="E93" s="105"/>
      <c r="F93" s="105"/>
      <c r="G93" s="105"/>
      <c r="H93" s="105"/>
      <c r="I93" s="105"/>
      <c r="J93" s="108"/>
      <c r="K93" s="105"/>
    </row>
    <row r="94" spans="3:15" ht="15" customHeight="1">
      <c r="C94" s="105"/>
      <c r="D94" s="105"/>
      <c r="E94" s="105"/>
      <c r="F94" s="105"/>
      <c r="G94" s="105"/>
      <c r="H94" s="105"/>
      <c r="I94" s="105"/>
      <c r="J94" s="105"/>
      <c r="K94" s="105"/>
    </row>
    <row r="95" spans="3:15" ht="15" customHeight="1">
      <c r="C95" s="105"/>
      <c r="D95" s="105"/>
      <c r="E95" s="105"/>
      <c r="F95" s="105"/>
      <c r="G95" s="105"/>
      <c r="H95" s="105"/>
      <c r="I95" s="105"/>
      <c r="J95" s="105"/>
      <c r="K95" s="111"/>
    </row>
    <row r="96" spans="3:15" ht="15" customHeight="1">
      <c r="C96" s="105"/>
      <c r="D96" s="105"/>
      <c r="E96" s="105"/>
      <c r="F96" s="105"/>
      <c r="G96" s="105"/>
      <c r="H96" s="105"/>
      <c r="I96" s="105"/>
      <c r="J96" s="105"/>
      <c r="K96" s="111"/>
    </row>
    <row r="97" spans="3:11" ht="15" customHeight="1">
      <c r="C97" s="105"/>
      <c r="D97" s="105"/>
      <c r="E97" s="105"/>
      <c r="F97" s="105"/>
      <c r="G97" s="105"/>
      <c r="H97" s="105"/>
      <c r="I97" s="105"/>
      <c r="J97" s="105"/>
      <c r="K97" s="111"/>
    </row>
    <row r="98" spans="3:11" ht="15" customHeight="1">
      <c r="C98" s="105"/>
      <c r="D98" s="105"/>
      <c r="E98" s="105"/>
      <c r="F98" s="105"/>
      <c r="G98" s="105"/>
      <c r="H98" s="105"/>
      <c r="I98" s="105"/>
      <c r="J98" s="105"/>
      <c r="K98" s="111"/>
    </row>
    <row r="99" spans="3:11" ht="15" customHeight="1">
      <c r="C99" s="105"/>
      <c r="D99" s="105"/>
      <c r="E99" s="105"/>
      <c r="F99" s="105"/>
      <c r="G99" s="105"/>
      <c r="H99" s="105"/>
      <c r="I99" s="105"/>
      <c r="J99" s="105"/>
      <c r="K99" s="111"/>
    </row>
    <row r="100" spans="3:11" ht="15" customHeight="1">
      <c r="C100" s="105"/>
      <c r="D100" s="105"/>
      <c r="E100" s="105"/>
      <c r="F100" s="105"/>
      <c r="G100" s="105"/>
      <c r="H100" s="105"/>
      <c r="I100" s="105"/>
      <c r="J100" s="105"/>
      <c r="K100" s="111"/>
    </row>
    <row r="101" spans="3:11" ht="15" customHeight="1">
      <c r="C101" s="105"/>
      <c r="D101" s="105"/>
      <c r="E101" s="105"/>
      <c r="F101" s="105"/>
      <c r="G101" s="105"/>
      <c r="H101" s="105"/>
      <c r="I101" s="105"/>
      <c r="J101" s="105"/>
      <c r="K101" s="111"/>
    </row>
    <row r="102" spans="3:11" ht="15" customHeight="1">
      <c r="C102" s="105"/>
      <c r="D102" s="105"/>
      <c r="E102" s="105"/>
      <c r="F102" s="105"/>
      <c r="G102" s="105"/>
      <c r="H102" s="105"/>
      <c r="I102" s="105"/>
      <c r="J102" s="105"/>
      <c r="K102" s="111"/>
    </row>
    <row r="103" spans="3:11" ht="15" customHeight="1">
      <c r="C103" s="105"/>
      <c r="D103" s="105"/>
      <c r="E103" s="105"/>
      <c r="F103" s="105"/>
      <c r="G103" s="105"/>
      <c r="H103" s="105"/>
      <c r="I103" s="105"/>
      <c r="J103" s="105"/>
      <c r="K103" s="111"/>
    </row>
    <row r="104" spans="3:11" ht="15" customHeight="1">
      <c r="C104" s="105"/>
      <c r="D104" s="105"/>
      <c r="E104" s="105"/>
      <c r="F104" s="105"/>
      <c r="G104" s="105"/>
      <c r="H104" s="105"/>
      <c r="I104" s="105"/>
      <c r="J104" s="105"/>
      <c r="K104" s="111"/>
    </row>
    <row r="105" spans="3:11" ht="15" customHeight="1">
      <c r="C105" s="105"/>
      <c r="D105" s="105"/>
      <c r="E105" s="105"/>
      <c r="F105" s="105"/>
      <c r="G105" s="105"/>
      <c r="H105" s="105"/>
      <c r="I105" s="105"/>
      <c r="J105" s="105"/>
      <c r="K105" s="111"/>
    </row>
    <row r="106" spans="3:11" ht="15" customHeight="1">
      <c r="C106" s="105"/>
      <c r="D106" s="105"/>
      <c r="E106" s="105"/>
      <c r="F106" s="105"/>
      <c r="G106" s="105"/>
      <c r="H106" s="105"/>
      <c r="I106" s="105"/>
      <c r="J106" s="105"/>
      <c r="K106" s="111"/>
    </row>
    <row r="107" spans="3:11" ht="15" customHeight="1">
      <c r="C107" s="105"/>
      <c r="D107" s="105"/>
      <c r="E107" s="105"/>
      <c r="F107" s="105"/>
      <c r="G107" s="105"/>
      <c r="H107" s="105"/>
      <c r="I107" s="105"/>
      <c r="J107" s="105"/>
      <c r="K107" s="111"/>
    </row>
    <row r="108" spans="3:11" ht="15" customHeight="1">
      <c r="C108" s="105"/>
      <c r="D108" s="105"/>
      <c r="E108" s="105"/>
      <c r="F108" s="105"/>
      <c r="G108" s="105"/>
      <c r="H108" s="105"/>
      <c r="I108" s="105"/>
      <c r="J108" s="105"/>
      <c r="K108" s="111"/>
    </row>
    <row r="109" spans="3:11" ht="15" customHeight="1">
      <c r="C109" s="105"/>
      <c r="D109" s="105"/>
      <c r="E109" s="105"/>
      <c r="F109" s="105"/>
      <c r="G109" s="105"/>
      <c r="H109" s="105"/>
      <c r="I109" s="105"/>
      <c r="J109" s="105"/>
      <c r="K109" s="111"/>
    </row>
    <row r="110" spans="3:11" ht="15" customHeight="1">
      <c r="C110" s="105"/>
      <c r="D110" s="105"/>
      <c r="E110" s="105"/>
      <c r="F110" s="105"/>
      <c r="G110" s="105"/>
      <c r="H110" s="105"/>
      <c r="I110" s="105"/>
      <c r="J110" s="105"/>
      <c r="K110" s="111"/>
    </row>
    <row r="111" spans="3:11" ht="15" customHeight="1">
      <c r="C111" s="105"/>
      <c r="D111" s="105"/>
      <c r="E111" s="105"/>
      <c r="F111" s="105"/>
      <c r="G111" s="105"/>
      <c r="H111" s="105"/>
      <c r="I111" s="105"/>
      <c r="J111" s="105"/>
      <c r="K111" s="111"/>
    </row>
    <row r="112" spans="3:11" ht="15" customHeight="1">
      <c r="C112" s="105"/>
      <c r="D112" s="105"/>
      <c r="E112" s="105"/>
      <c r="F112" s="105"/>
      <c r="G112" s="105"/>
      <c r="H112" s="105"/>
      <c r="I112" s="105"/>
      <c r="J112" s="105"/>
      <c r="K112" s="111"/>
    </row>
    <row r="113" spans="3:11" ht="15" customHeight="1">
      <c r="C113" s="105"/>
      <c r="D113" s="105"/>
      <c r="E113" s="105"/>
      <c r="F113" s="105"/>
      <c r="G113" s="105"/>
      <c r="H113" s="105"/>
      <c r="I113" s="105"/>
      <c r="J113" s="105"/>
      <c r="K113" s="111"/>
    </row>
    <row r="114" spans="3:11" ht="15" customHeight="1">
      <c r="C114" s="105"/>
      <c r="D114" s="105"/>
      <c r="E114" s="105"/>
      <c r="F114" s="105"/>
      <c r="G114" s="105"/>
      <c r="H114" s="105"/>
      <c r="I114" s="105"/>
      <c r="J114" s="105"/>
      <c r="K114" s="111"/>
    </row>
    <row r="115" spans="3:11" ht="15" customHeight="1">
      <c r="C115" s="105"/>
      <c r="D115" s="105"/>
      <c r="E115" s="105"/>
      <c r="F115" s="105"/>
      <c r="G115" s="105"/>
      <c r="H115" s="105"/>
      <c r="I115" s="105"/>
      <c r="J115" s="105"/>
      <c r="K115" s="111"/>
    </row>
    <row r="116" spans="3:11" ht="15" customHeight="1">
      <c r="C116" s="105"/>
      <c r="D116" s="105"/>
      <c r="E116" s="105"/>
      <c r="F116" s="105"/>
      <c r="G116" s="105"/>
      <c r="H116" s="105"/>
      <c r="I116" s="105"/>
      <c r="J116" s="105"/>
      <c r="K116" s="111"/>
    </row>
    <row r="117" spans="3:11" ht="15" customHeight="1">
      <c r="C117" s="105"/>
      <c r="D117" s="105"/>
      <c r="E117" s="105"/>
      <c r="F117" s="105"/>
      <c r="G117" s="105"/>
      <c r="H117" s="105"/>
      <c r="I117" s="105"/>
      <c r="J117" s="105"/>
      <c r="K117" s="111"/>
    </row>
    <row r="118" spans="3:11" ht="15" customHeight="1">
      <c r="C118" s="105"/>
      <c r="D118" s="105"/>
      <c r="E118" s="105"/>
      <c r="F118" s="105"/>
      <c r="G118" s="105"/>
      <c r="H118" s="105"/>
      <c r="I118" s="105"/>
      <c r="J118" s="105"/>
      <c r="K118" s="111"/>
    </row>
    <row r="119" spans="3:11" ht="15" customHeight="1">
      <c r="C119" s="105"/>
      <c r="D119" s="105"/>
      <c r="E119" s="105"/>
      <c r="F119" s="105"/>
      <c r="G119" s="105"/>
      <c r="H119" s="105"/>
      <c r="I119" s="105"/>
      <c r="J119" s="105"/>
      <c r="K119" s="111"/>
    </row>
    <row r="120" spans="3:11" ht="15" customHeight="1">
      <c r="C120" s="105"/>
      <c r="D120" s="105"/>
      <c r="E120" s="105"/>
      <c r="F120" s="105"/>
      <c r="G120" s="105"/>
      <c r="H120" s="105"/>
      <c r="I120" s="105"/>
      <c r="J120" s="105"/>
      <c r="K120" s="111"/>
    </row>
    <row r="121" spans="3:11" ht="15" customHeight="1">
      <c r="C121" s="105"/>
      <c r="D121" s="105"/>
      <c r="E121" s="105"/>
      <c r="F121" s="105"/>
      <c r="G121" s="105"/>
      <c r="H121" s="105"/>
      <c r="I121" s="105"/>
      <c r="J121" s="105"/>
      <c r="K121" s="105"/>
    </row>
    <row r="122" spans="3:11" ht="15" customHeight="1">
      <c r="C122" s="105"/>
      <c r="D122" s="105"/>
      <c r="E122" s="105"/>
      <c r="F122" s="105"/>
      <c r="G122" s="105"/>
      <c r="H122" s="105"/>
      <c r="I122" s="105"/>
      <c r="J122" s="105"/>
      <c r="K122" s="105"/>
    </row>
    <row r="123" spans="3:11" ht="15" customHeight="1">
      <c r="C123" s="105"/>
      <c r="D123" s="105"/>
      <c r="E123" s="105"/>
      <c r="F123" s="105"/>
      <c r="G123" s="105"/>
      <c r="H123" s="105"/>
      <c r="I123" s="105"/>
      <c r="J123" s="105"/>
      <c r="K123" s="105"/>
    </row>
    <row r="124" spans="3:11" ht="15" customHeight="1">
      <c r="C124" s="105"/>
      <c r="D124" s="105"/>
      <c r="E124" s="105"/>
      <c r="F124" s="105"/>
      <c r="G124" s="105"/>
      <c r="H124" s="105"/>
      <c r="I124" s="105"/>
      <c r="J124" s="105"/>
      <c r="K124" s="111"/>
    </row>
    <row r="125" spans="3:11" ht="15" customHeight="1">
      <c r="C125" s="105"/>
      <c r="D125" s="105"/>
      <c r="E125" s="105"/>
      <c r="F125" s="105"/>
      <c r="G125" s="105"/>
      <c r="H125" s="105"/>
      <c r="I125" s="105"/>
      <c r="J125" s="105"/>
      <c r="K125" s="111"/>
    </row>
    <row r="126" spans="3:11" ht="15" customHeight="1">
      <c r="C126" s="105"/>
      <c r="D126" s="105"/>
      <c r="E126" s="105"/>
      <c r="F126" s="105"/>
      <c r="G126" s="105"/>
      <c r="H126" s="105"/>
      <c r="I126" s="105"/>
      <c r="J126" s="105"/>
      <c r="K126" s="111"/>
    </row>
    <row r="127" spans="3:11" ht="15" customHeight="1">
      <c r="C127" s="105"/>
      <c r="D127" s="105"/>
      <c r="E127" s="105"/>
      <c r="F127" s="105"/>
      <c r="G127" s="105"/>
      <c r="H127" s="105"/>
      <c r="I127" s="105"/>
      <c r="J127" s="105"/>
      <c r="K127" s="111"/>
    </row>
    <row r="128" spans="3:11" ht="15" customHeight="1">
      <c r="K128" s="104"/>
    </row>
    <row r="129" spans="11:11" ht="15" customHeight="1">
      <c r="K129" s="104"/>
    </row>
    <row r="130" spans="11:11" ht="15" customHeight="1">
      <c r="K130" s="104"/>
    </row>
    <row r="131" spans="11:11" ht="15" customHeight="1">
      <c r="K131" s="104"/>
    </row>
    <row r="132" spans="11:11" ht="15" customHeight="1">
      <c r="K132" s="104"/>
    </row>
    <row r="133" spans="11:11" ht="15" customHeight="1">
      <c r="K133" s="104"/>
    </row>
    <row r="134" spans="11:11" ht="15" customHeight="1">
      <c r="K134" s="104"/>
    </row>
    <row r="135" spans="11:11" ht="15" customHeight="1">
      <c r="K135" s="104"/>
    </row>
    <row r="136" spans="11:11" ht="15" customHeight="1">
      <c r="K136" s="104"/>
    </row>
    <row r="137" spans="11:11" ht="15" customHeight="1">
      <c r="K137" s="104"/>
    </row>
    <row r="138" spans="11:11" ht="15" customHeight="1">
      <c r="K138" s="104"/>
    </row>
    <row r="139" spans="11:11" ht="15" customHeight="1">
      <c r="K139" s="104"/>
    </row>
    <row r="140" spans="11:11" ht="15" customHeight="1">
      <c r="K140" s="104"/>
    </row>
    <row r="141" spans="11:11" ht="15" customHeight="1">
      <c r="K141" s="104"/>
    </row>
    <row r="142" spans="11:11" ht="15" customHeight="1">
      <c r="K142" s="104"/>
    </row>
    <row r="143" spans="11:11" ht="15" customHeight="1">
      <c r="K143" s="104"/>
    </row>
    <row r="144" spans="11:11" ht="15" customHeight="1">
      <c r="K144" s="104"/>
    </row>
    <row r="145" spans="11:11" ht="15" customHeight="1">
      <c r="K145" s="104"/>
    </row>
    <row r="146" spans="11:11" ht="15" customHeight="1">
      <c r="K146" s="104"/>
    </row>
    <row r="147" spans="11:11" ht="15" customHeight="1">
      <c r="K147" s="104"/>
    </row>
    <row r="148" spans="11:11" ht="15" customHeight="1">
      <c r="K148" s="104"/>
    </row>
    <row r="149" spans="11:11" ht="15" customHeight="1">
      <c r="K149" s="104"/>
    </row>
  </sheetData>
  <conditionalFormatting sqref="F23:L34">
    <cfRule type="colorScale" priority="80">
      <colorScale>
        <cfvo type="min"/>
        <cfvo type="percentile" val="50"/>
        <cfvo type="max"/>
        <color theme="9" tint="0.79998168889431442"/>
        <color theme="9" tint="0.39997558519241921"/>
        <color rgb="FF63BE7B"/>
      </colorScale>
    </cfRule>
  </conditionalFormatting>
  <conditionalFormatting sqref="K3:K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{802C071A-A7B4-4402-9A30-62AE91455842}</x14:id>
        </ext>
      </extLst>
    </cfRule>
  </conditionalFormatting>
  <conditionalFormatting sqref="O3:O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22" orientation="portrait" r:id="rId1"/>
  <colBreaks count="1" manualBreakCount="1">
    <brk id="23" max="87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C071A-A7B4-4402-9A30-62AE914558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E6F8-5F57-4AA6-8D96-A270A2F98277}">
  <sheetPr>
    <tabColor rgb="FF00B050"/>
  </sheetPr>
  <dimension ref="A1:AZ78"/>
  <sheetViews>
    <sheetView zoomScale="83" zoomScaleNormal="83" workbookViewId="0">
      <selection activeCell="V8" sqref="V8"/>
    </sheetView>
  </sheetViews>
  <sheetFormatPr baseColWidth="10" defaultColWidth="8.83203125" defaultRowHeight="15"/>
  <cols>
    <col min="2" max="2" width="13.83203125" bestFit="1" customWidth="1"/>
    <col min="3" max="3" width="12.5" customWidth="1"/>
    <col min="4" max="4" width="13.5" customWidth="1"/>
    <col min="5" max="5" width="16.1640625" bestFit="1" customWidth="1"/>
    <col min="6" max="6" width="8.5" style="44" customWidth="1"/>
    <col min="7" max="7" width="11.83203125" style="44" customWidth="1"/>
    <col min="8" max="8" width="14" style="44" bestFit="1" customWidth="1"/>
    <col min="9" max="10" width="13.5" style="44" customWidth="1"/>
    <col min="11" max="13" width="13.5" customWidth="1"/>
    <col min="14" max="14" width="13.5" hidden="1" customWidth="1"/>
    <col min="15" max="18" width="13.5" style="44" customWidth="1"/>
    <col min="19" max="20" width="13.5" customWidth="1"/>
    <col min="21" max="21" width="15" customWidth="1"/>
    <col min="22" max="22" width="12.83203125" customWidth="1"/>
    <col min="23" max="23" width="8.83203125" bestFit="1" customWidth="1"/>
    <col min="24" max="24" width="14.5" bestFit="1" customWidth="1"/>
    <col min="25" max="25" width="12.1640625" bestFit="1" customWidth="1"/>
    <col min="26" max="26" width="14.1640625" customWidth="1"/>
    <col min="27" max="27" width="14.83203125" customWidth="1"/>
    <col min="28" max="29" width="9.1640625" customWidth="1"/>
    <col min="31" max="31" width="16.5" customWidth="1"/>
    <col min="32" max="32" width="15.83203125" bestFit="1" customWidth="1"/>
    <col min="33" max="34" width="15.83203125" customWidth="1"/>
    <col min="35" max="35" width="26.5" customWidth="1"/>
    <col min="36" max="36" width="23.1640625" customWidth="1"/>
    <col min="37" max="37" width="11.83203125" customWidth="1"/>
    <col min="38" max="38" width="19.5" customWidth="1"/>
    <col min="39" max="39" width="11.5" customWidth="1"/>
    <col min="42" max="42" width="14.5" bestFit="1" customWidth="1"/>
    <col min="44" max="49" width="8.5" style="16"/>
    <col min="50" max="51" width="15.5" style="16" bestFit="1" customWidth="1"/>
    <col min="52" max="52" width="8.5" style="16"/>
  </cols>
  <sheetData>
    <row r="1" spans="1:52" ht="39.5" customHeight="1">
      <c r="B1" s="10"/>
      <c r="C1" s="193"/>
      <c r="D1" s="193"/>
      <c r="E1" s="193"/>
      <c r="F1" s="193"/>
      <c r="G1" s="193"/>
      <c r="H1" s="193"/>
      <c r="I1" s="193"/>
      <c r="J1" s="62"/>
      <c r="K1" s="11"/>
      <c r="L1" s="11"/>
      <c r="M1" s="11"/>
      <c r="N1" s="11"/>
      <c r="O1" s="62"/>
      <c r="P1" s="62"/>
      <c r="Q1" s="62"/>
      <c r="R1" s="62"/>
      <c r="S1" s="11"/>
      <c r="T1" s="11"/>
      <c r="U1" s="12"/>
      <c r="V1" s="13" t="s">
        <v>200</v>
      </c>
      <c r="W1" t="s">
        <v>223</v>
      </c>
      <c r="X1" s="66">
        <v>23760000</v>
      </c>
      <c r="Y1" s="14"/>
      <c r="Z1" s="14"/>
      <c r="AI1" s="15"/>
      <c r="AM1" s="15"/>
    </row>
    <row r="2" spans="1:52" s="17" customFormat="1" ht="16">
      <c r="B2" s="17" t="s">
        <v>202</v>
      </c>
      <c r="C2" s="18" t="e">
        <f>#REF!</f>
        <v>#REF!</v>
      </c>
      <c r="D2" s="18" t="e">
        <f>#REF!</f>
        <v>#REF!</v>
      </c>
      <c r="E2" s="18" t="e">
        <f>#REF!</f>
        <v>#REF!</v>
      </c>
      <c r="F2" s="41" t="e">
        <f>#REF!</f>
        <v>#REF!</v>
      </c>
      <c r="G2" s="41" t="e">
        <f>#REF!</f>
        <v>#REF!</v>
      </c>
      <c r="H2" s="41" t="e">
        <f>#REF!</f>
        <v>#REF!</v>
      </c>
      <c r="I2" s="41" t="e">
        <f>#REF!</f>
        <v>#REF!</v>
      </c>
      <c r="J2" s="41" t="e">
        <f>#REF!</f>
        <v>#REF!</v>
      </c>
      <c r="K2" s="18" t="e">
        <f>#REF!</f>
        <v>#REF!</v>
      </c>
      <c r="L2" s="18" t="e">
        <f>#REF!</f>
        <v>#REF!</v>
      </c>
      <c r="M2" s="18" t="e">
        <f>#REF!</f>
        <v>#REF!</v>
      </c>
      <c r="N2" s="18" t="e">
        <f>#REF!</f>
        <v>#REF!</v>
      </c>
      <c r="O2" s="41" t="e">
        <f>#REF!</f>
        <v>#REF!</v>
      </c>
      <c r="P2" s="41" t="e">
        <f>#REF!</f>
        <v>#REF!</v>
      </c>
      <c r="Q2" s="41" t="e">
        <f>#REF!</f>
        <v>#REF!</v>
      </c>
      <c r="R2" s="41" t="e">
        <f>#REF!</f>
        <v>#REF!</v>
      </c>
      <c r="S2" s="18" t="e">
        <f>#REF!</f>
        <v>#REF!</v>
      </c>
      <c r="T2" s="18" t="e">
        <f>#REF!</f>
        <v>#REF!</v>
      </c>
      <c r="U2" s="18" t="e">
        <f>#REF!</f>
        <v>#REF!</v>
      </c>
      <c r="V2" s="18" t="s">
        <v>224</v>
      </c>
      <c r="W2" s="18"/>
      <c r="X2" s="66" t="s">
        <v>225</v>
      </c>
      <c r="Y2" s="18"/>
      <c r="AA2" s="18"/>
      <c r="AE2" s="18"/>
      <c r="AF2" s="18"/>
      <c r="AG2" s="18"/>
      <c r="AH2" s="18"/>
      <c r="AI2" s="19"/>
      <c r="AJ2" s="18"/>
      <c r="AK2" s="18"/>
      <c r="AL2" s="18"/>
      <c r="AR2" s="20"/>
      <c r="AS2" s="20"/>
      <c r="AT2" s="21"/>
      <c r="AU2" s="21"/>
      <c r="AV2" s="21"/>
      <c r="AW2" s="21"/>
      <c r="AX2" s="21"/>
      <c r="AY2" s="21"/>
      <c r="AZ2" s="21"/>
    </row>
    <row r="3" spans="1:52" s="17" customFormat="1">
      <c r="B3" s="76" t="s">
        <v>208</v>
      </c>
      <c r="C3" s="1" t="e">
        <f>VLOOKUP(B3,#REF!,2,FALSE)</f>
        <v>#REF!</v>
      </c>
      <c r="D3" s="1" t="e">
        <f>VLOOKUP(B3,#REF!,2,FALSE)</f>
        <v>#REF!</v>
      </c>
      <c r="E3" s="1" t="e">
        <f>VLOOKUP(B3,#REF!,2,FALSE)</f>
        <v>#REF!</v>
      </c>
      <c r="F3" s="60" t="e">
        <f>VLOOKUP(B3,#REF!,2,FALSE)</f>
        <v>#REF!</v>
      </c>
      <c r="G3" s="61" t="e">
        <f>VLOOKUP(B3,#REF!,2,FALSE)</f>
        <v>#REF!</v>
      </c>
      <c r="H3" s="42" t="e">
        <f>VLOOKUP(B3,#REF!,2,FALSE)</f>
        <v>#REF!</v>
      </c>
      <c r="I3" s="43" t="e">
        <f>VLOOKUP(B3,#REF!,2,FALSE)</f>
        <v>#REF!</v>
      </c>
      <c r="J3" s="43" t="e">
        <f>VLOOKUP(B3,#REF!,2,FALSE)</f>
        <v>#REF!</v>
      </c>
      <c r="K3" s="1" t="e">
        <f>VLOOKUP(B3,#REF!,3,FALSE)</f>
        <v>#REF!</v>
      </c>
      <c r="L3" s="1" t="e">
        <f>VLOOKUP(B3,#REF!,4,FALSE)</f>
        <v>#REF!</v>
      </c>
      <c r="M3" s="1" t="e">
        <f>VLOOKUP(B3,#REF!,5,FALSE)</f>
        <v>#REF!</v>
      </c>
      <c r="N3" s="1" t="e">
        <f>VLOOKUP(B3,#REF!,6,FALSE)</f>
        <v>#REF!</v>
      </c>
      <c r="O3" s="63" t="e">
        <f>VLOOKUP(B3,#REF!,2,FALSE)</f>
        <v>#REF!</v>
      </c>
      <c r="P3" s="45" t="e">
        <f>VLOOKUP(B3,#REF!,2,FALSE)</f>
        <v>#REF!</v>
      </c>
      <c r="Q3" s="64" t="e">
        <f>VLOOKUP(B3,#REF!,2,FALSE)</f>
        <v>#REF!</v>
      </c>
      <c r="R3" s="43" t="e">
        <f>VLOOKUP(B3,#REF!,3,FALSE)</f>
        <v>#REF!</v>
      </c>
      <c r="S3" s="4" t="e">
        <f>VLOOKUP(B3,#REF!,4,FALSE)</f>
        <v>#REF!</v>
      </c>
      <c r="T3" s="59" t="e">
        <f>VLOOKUP(B3,#REF!,2,FALSE)</f>
        <v>#REF!</v>
      </c>
      <c r="U3" s="2" t="e">
        <f>VLOOKUP(B3,#REF!,2,FALSE)</f>
        <v>#REF!</v>
      </c>
      <c r="V3" s="2">
        <v>17.325898806994001</v>
      </c>
      <c r="W3" s="4">
        <f t="shared" ref="W3:W21" si="0">V3/SUM($V$4:$V$27)</f>
        <v>5.4768484107572402E-2</v>
      </c>
      <c r="X3" s="66">
        <f>W3*$X$1</f>
        <v>1301299.1823959202</v>
      </c>
      <c r="Y3" s="18"/>
      <c r="AA3" s="18"/>
      <c r="AE3" s="18"/>
      <c r="AF3" s="18"/>
      <c r="AG3" s="18"/>
      <c r="AH3" s="18"/>
      <c r="AI3" s="19"/>
      <c r="AJ3" s="18"/>
      <c r="AK3" s="18"/>
      <c r="AL3" s="18"/>
      <c r="AR3" s="20"/>
      <c r="AS3" s="20"/>
      <c r="AT3" s="21"/>
      <c r="AU3" s="21"/>
      <c r="AV3" s="21"/>
      <c r="AW3" s="21"/>
      <c r="AX3" s="21"/>
      <c r="AY3" s="21"/>
      <c r="AZ3" s="21"/>
    </row>
    <row r="4" spans="1:52">
      <c r="B4" s="6" t="s">
        <v>207</v>
      </c>
      <c r="C4" s="1" t="e">
        <f>VLOOKUP(B4,#REF!,2,FALSE)</f>
        <v>#REF!</v>
      </c>
      <c r="D4" s="1" t="e">
        <f>VLOOKUP(B4,#REF!,2,FALSE)</f>
        <v>#REF!</v>
      </c>
      <c r="E4" s="1" t="e">
        <f>VLOOKUP(B4,#REF!,2,FALSE)</f>
        <v>#REF!</v>
      </c>
      <c r="F4" s="60" t="e">
        <f>VLOOKUP(B4,#REF!,2,FALSE)</f>
        <v>#REF!</v>
      </c>
      <c r="G4" s="61" t="e">
        <f>VLOOKUP(B4,#REF!,2,FALSE)</f>
        <v>#REF!</v>
      </c>
      <c r="H4" s="42" t="e">
        <f>VLOOKUP(B4,#REF!,2,FALSE)</f>
        <v>#REF!</v>
      </c>
      <c r="I4" s="43" t="e">
        <f>VLOOKUP(B4,#REF!,2,FALSE)</f>
        <v>#REF!</v>
      </c>
      <c r="J4" s="43" t="e">
        <f>VLOOKUP(B4,#REF!,2,FALSE)</f>
        <v>#REF!</v>
      </c>
      <c r="K4" s="1" t="e">
        <f>VLOOKUP(B4,#REF!,3,FALSE)</f>
        <v>#REF!</v>
      </c>
      <c r="L4" s="1" t="e">
        <f>VLOOKUP(B4,#REF!,4,FALSE)</f>
        <v>#REF!</v>
      </c>
      <c r="M4" s="1" t="e">
        <f>VLOOKUP(B4,#REF!,5,FALSE)</f>
        <v>#REF!</v>
      </c>
      <c r="N4" s="1" t="e">
        <f>VLOOKUP(B4,#REF!,6,FALSE)</f>
        <v>#REF!</v>
      </c>
      <c r="O4" s="63" t="e">
        <f>VLOOKUP(B4,#REF!,2,FALSE)</f>
        <v>#REF!</v>
      </c>
      <c r="P4" s="45" t="e">
        <f>VLOOKUP(B4,#REF!,2,FALSE)</f>
        <v>#REF!</v>
      </c>
      <c r="Q4" s="64" t="e">
        <f>VLOOKUP(B4,#REF!,2,FALSE)</f>
        <v>#REF!</v>
      </c>
      <c r="R4" s="43" t="e">
        <f>VLOOKUP(B4,#REF!,3,FALSE)</f>
        <v>#REF!</v>
      </c>
      <c r="S4" s="4" t="e">
        <f>VLOOKUP(B4,#REF!,4,FALSE)</f>
        <v>#REF!</v>
      </c>
      <c r="T4" s="59" t="e">
        <f>VLOOKUP(B4,#REF!,2,FALSE)</f>
        <v>#REF!</v>
      </c>
      <c r="U4" s="2" t="e">
        <f>VLOOKUP(B4,#REF!,2,FALSE)</f>
        <v>#REF!</v>
      </c>
      <c r="V4" s="2">
        <v>18.325898806993983</v>
      </c>
      <c r="W4" s="4">
        <f t="shared" si="0"/>
        <v>5.7929560177430485E-2</v>
      </c>
      <c r="X4" s="66">
        <f>W4*$X$1</f>
        <v>1376406.3498157484</v>
      </c>
      <c r="Y4" s="22"/>
      <c r="Z4" s="22"/>
      <c r="AA4" s="23"/>
      <c r="AE4" s="24"/>
      <c r="AF4" s="25"/>
      <c r="AG4" s="25"/>
      <c r="AH4" s="25"/>
      <c r="AI4" s="26"/>
      <c r="AJ4" s="25"/>
      <c r="AK4" s="25"/>
      <c r="AL4" s="25"/>
      <c r="AM4" s="27"/>
      <c r="AN4" s="25"/>
      <c r="AO4" s="28"/>
      <c r="AP4" s="25"/>
      <c r="AX4" s="29"/>
      <c r="AY4" s="29"/>
    </row>
    <row r="5" spans="1:52" s="47" customFormat="1">
      <c r="A5" s="47" t="s">
        <v>226</v>
      </c>
      <c r="B5" s="6" t="s">
        <v>206</v>
      </c>
      <c r="C5" s="1" t="e">
        <f>VLOOKUP(B5,#REF!,2,FALSE)</f>
        <v>#REF!</v>
      </c>
      <c r="D5" s="1" t="e">
        <f>VLOOKUP(B5,#REF!,2,FALSE)</f>
        <v>#REF!</v>
      </c>
      <c r="E5" s="1" t="e">
        <f>VLOOKUP(B5,#REF!,2,FALSE)</f>
        <v>#REF!</v>
      </c>
      <c r="F5" s="60" t="e">
        <f>VLOOKUP(B5,#REF!,2,FALSE)</f>
        <v>#REF!</v>
      </c>
      <c r="G5" s="61" t="e">
        <f>VLOOKUP(B5,#REF!,2,FALSE)</f>
        <v>#REF!</v>
      </c>
      <c r="H5" s="42" t="e">
        <f>VLOOKUP(B5,#REF!,2,FALSE)</f>
        <v>#REF!</v>
      </c>
      <c r="I5" s="43" t="e">
        <f>VLOOKUP(B5,#REF!,2,FALSE)</f>
        <v>#REF!</v>
      </c>
      <c r="J5" s="43" t="e">
        <f>VLOOKUP(B5,#REF!,2,FALSE)</f>
        <v>#REF!</v>
      </c>
      <c r="K5" s="1" t="e">
        <f>VLOOKUP(B5,#REF!,3,FALSE)</f>
        <v>#REF!</v>
      </c>
      <c r="L5" s="1" t="e">
        <f>VLOOKUP(B5,#REF!,4,FALSE)</f>
        <v>#REF!</v>
      </c>
      <c r="M5" s="1" t="e">
        <f>VLOOKUP(B5,#REF!,5,FALSE)</f>
        <v>#REF!</v>
      </c>
      <c r="N5" s="48" t="e">
        <f>VLOOKUP(B5,#REF!,6,FALSE)</f>
        <v>#REF!</v>
      </c>
      <c r="O5" s="63" t="e">
        <f>VLOOKUP(B5,#REF!,2,FALSE)</f>
        <v>#REF!</v>
      </c>
      <c r="P5" s="45" t="e">
        <f>VLOOKUP(B5,#REF!,2,FALSE)</f>
        <v>#REF!</v>
      </c>
      <c r="Q5" s="64" t="e">
        <f>VLOOKUP(B5,#REF!,2,FALSE)</f>
        <v>#REF!</v>
      </c>
      <c r="R5" s="43" t="e">
        <f>VLOOKUP(B5,#REF!,3,FALSE)</f>
        <v>#REF!</v>
      </c>
      <c r="S5" s="4" t="e">
        <f>VLOOKUP(B5,#REF!,4,FALSE)</f>
        <v>#REF!</v>
      </c>
      <c r="T5" s="59" t="e">
        <f>VLOOKUP(B5,#REF!,2,FALSE)</f>
        <v>#REF!</v>
      </c>
      <c r="U5" s="2" t="e">
        <f>VLOOKUP(B5,#REF!,2,FALSE)</f>
        <v>#REF!</v>
      </c>
      <c r="V5" s="49">
        <v>16.612230150364468</v>
      </c>
      <c r="W5" s="50">
        <f t="shared" si="0"/>
        <v>5.2512523195292982E-2</v>
      </c>
      <c r="X5" s="66">
        <f t="shared" ref="X5:X27" si="1">W5*$X$1</f>
        <v>1247697.5511201613</v>
      </c>
      <c r="Y5" s="51"/>
      <c r="Z5" s="51"/>
      <c r="AE5" s="52"/>
      <c r="AF5" s="53"/>
      <c r="AG5" s="53"/>
      <c r="AH5" s="53"/>
      <c r="AI5" s="54"/>
      <c r="AJ5" s="53"/>
      <c r="AK5" s="53"/>
      <c r="AL5" s="53"/>
      <c r="AM5" s="55"/>
      <c r="AN5" s="53"/>
      <c r="AO5" s="56"/>
      <c r="AP5" s="53"/>
      <c r="AR5" s="57"/>
      <c r="AS5" s="57"/>
      <c r="AT5" s="57"/>
      <c r="AU5" s="57"/>
      <c r="AV5" s="57"/>
      <c r="AW5" s="57"/>
      <c r="AX5" s="58"/>
      <c r="AY5" s="58"/>
      <c r="AZ5" s="57"/>
    </row>
    <row r="6" spans="1:52">
      <c r="B6" s="6" t="s">
        <v>187</v>
      </c>
      <c r="C6" s="1" t="e">
        <f>VLOOKUP(B6,#REF!,2,FALSE)</f>
        <v>#REF!</v>
      </c>
      <c r="D6" s="1" t="e">
        <f>VLOOKUP(B6,#REF!,2,FALSE)</f>
        <v>#REF!</v>
      </c>
      <c r="E6" s="1" t="e">
        <f>VLOOKUP(B6,#REF!,2,FALSE)</f>
        <v>#REF!</v>
      </c>
      <c r="F6" s="60" t="e">
        <f>VLOOKUP(B6,#REF!,2,FALSE)</f>
        <v>#REF!</v>
      </c>
      <c r="G6" s="61" t="e">
        <f>VLOOKUP(B6,#REF!,2,FALSE)</f>
        <v>#REF!</v>
      </c>
      <c r="H6" s="42" t="e">
        <f>VLOOKUP(B6,#REF!,2,FALSE)</f>
        <v>#REF!</v>
      </c>
      <c r="I6" s="43" t="e">
        <f>VLOOKUP(B6,#REF!,2,FALSE)</f>
        <v>#REF!</v>
      </c>
      <c r="J6" s="43" t="e">
        <f>VLOOKUP(B6,#REF!,2,FALSE)</f>
        <v>#REF!</v>
      </c>
      <c r="K6" s="1" t="e">
        <f>VLOOKUP(B6,#REF!,3,FALSE)</f>
        <v>#REF!</v>
      </c>
      <c r="L6" s="1" t="e">
        <f>VLOOKUP(B6,#REF!,4,FALSE)</f>
        <v>#REF!</v>
      </c>
      <c r="M6" s="1" t="e">
        <f>VLOOKUP(B6,#REF!,5,FALSE)</f>
        <v>#REF!</v>
      </c>
      <c r="N6" s="1" t="e">
        <f>VLOOKUP(B6,#REF!,6,FALSE)</f>
        <v>#REF!</v>
      </c>
      <c r="O6" s="63" t="e">
        <f>VLOOKUP(B6,#REF!,2,FALSE)</f>
        <v>#REF!</v>
      </c>
      <c r="P6" s="45" t="e">
        <f>VLOOKUP(B6,#REF!,2,FALSE)</f>
        <v>#REF!</v>
      </c>
      <c r="Q6" s="64" t="e">
        <f>VLOOKUP(B6,#REF!,2,FALSE)</f>
        <v>#REF!</v>
      </c>
      <c r="R6" s="43" t="e">
        <f>VLOOKUP(B6,#REF!,3,FALSE)</f>
        <v>#REF!</v>
      </c>
      <c r="S6" s="4" t="e">
        <f>VLOOKUP(B6,#REF!,4,FALSE)</f>
        <v>#REF!</v>
      </c>
      <c r="T6" s="59" t="e">
        <f>VLOOKUP(B6,#REF!,2,FALSE)</f>
        <v>#REF!</v>
      </c>
      <c r="U6" s="2" t="e">
        <f>VLOOKUP(B6,#REF!,2,FALSE)</f>
        <v>#REF!</v>
      </c>
      <c r="V6" s="2">
        <v>12.163844072719316</v>
      </c>
      <c r="W6" s="4">
        <f t="shared" si="0"/>
        <v>3.8450836415758784E-2</v>
      </c>
      <c r="X6" s="66">
        <f t="shared" si="1"/>
        <v>913591.87323842873</v>
      </c>
      <c r="Y6" s="22"/>
      <c r="Z6" s="22"/>
      <c r="AE6" s="24"/>
      <c r="AF6" s="25"/>
      <c r="AG6" s="25"/>
      <c r="AH6" s="25"/>
      <c r="AI6" s="26"/>
      <c r="AJ6" s="25"/>
      <c r="AK6" s="25"/>
      <c r="AL6" s="25"/>
      <c r="AM6" s="27"/>
      <c r="AN6" s="25"/>
      <c r="AO6" s="28"/>
      <c r="AP6" s="25"/>
      <c r="AX6" s="29"/>
      <c r="AY6" s="29"/>
    </row>
    <row r="7" spans="1:52">
      <c r="B7" s="6" t="s">
        <v>167</v>
      </c>
      <c r="C7" s="1" t="e">
        <f>VLOOKUP(B7,#REF!,2,FALSE)</f>
        <v>#REF!</v>
      </c>
      <c r="D7" s="1" t="e">
        <f>VLOOKUP(B7,#REF!,2,FALSE)</f>
        <v>#REF!</v>
      </c>
      <c r="E7" s="1" t="e">
        <f>VLOOKUP(B7,#REF!,2,FALSE)</f>
        <v>#REF!</v>
      </c>
      <c r="F7" s="60" t="e">
        <f>VLOOKUP(B7,#REF!,2,FALSE)</f>
        <v>#REF!</v>
      </c>
      <c r="G7" s="61" t="e">
        <f>VLOOKUP(B7,#REF!,2,FALSE)</f>
        <v>#REF!</v>
      </c>
      <c r="H7" s="42" t="e">
        <f>VLOOKUP(B7,#REF!,2,FALSE)</f>
        <v>#REF!</v>
      </c>
      <c r="I7" s="43" t="e">
        <f>VLOOKUP(B7,#REF!,2,FALSE)</f>
        <v>#REF!</v>
      </c>
      <c r="J7" s="43" t="e">
        <f>VLOOKUP(B7,#REF!,2,FALSE)</f>
        <v>#REF!</v>
      </c>
      <c r="K7" s="1" t="e">
        <f>VLOOKUP(B7,#REF!,3,FALSE)</f>
        <v>#REF!</v>
      </c>
      <c r="L7" s="1" t="e">
        <f>VLOOKUP(B7,#REF!,4,FALSE)</f>
        <v>#REF!</v>
      </c>
      <c r="M7" s="1" t="e">
        <f>VLOOKUP(B7,#REF!,5,FALSE)</f>
        <v>#REF!</v>
      </c>
      <c r="N7" s="1" t="e">
        <f>VLOOKUP(B7,#REF!,6,FALSE)</f>
        <v>#REF!</v>
      </c>
      <c r="O7" s="63" t="e">
        <f>VLOOKUP(B7,#REF!,2,FALSE)</f>
        <v>#REF!</v>
      </c>
      <c r="P7" s="45" t="e">
        <f>VLOOKUP(B7,#REF!,2,FALSE)</f>
        <v>#REF!</v>
      </c>
      <c r="Q7" s="64" t="e">
        <f>VLOOKUP(B7,#REF!,2,FALSE)</f>
        <v>#REF!</v>
      </c>
      <c r="R7" s="43" t="e">
        <f>VLOOKUP(B7,#REF!,3,FALSE)</f>
        <v>#REF!</v>
      </c>
      <c r="S7" s="4" t="e">
        <f>VLOOKUP(B7,#REF!,4,FALSE)</f>
        <v>#REF!</v>
      </c>
      <c r="T7" s="59" t="e">
        <f>VLOOKUP(B7,#REF!,2,FALSE)</f>
        <v>#REF!</v>
      </c>
      <c r="U7" s="2" t="e">
        <f>VLOOKUP(B7,#REF!,2,FALSE)</f>
        <v>#REF!</v>
      </c>
      <c r="V7" s="2">
        <v>8.9095183491351904</v>
      </c>
      <c r="W7" s="4">
        <f t="shared" si="0"/>
        <v>2.8163665247413233E-2</v>
      </c>
      <c r="X7" s="66">
        <f t="shared" si="1"/>
        <v>669168.68627853843</v>
      </c>
      <c r="Y7" s="22"/>
      <c r="Z7" s="22"/>
      <c r="AA7" s="23"/>
      <c r="AE7" s="24"/>
      <c r="AF7" s="25"/>
      <c r="AG7" s="25"/>
      <c r="AH7" s="25"/>
      <c r="AI7" s="26"/>
      <c r="AJ7" s="25"/>
      <c r="AK7" s="25"/>
      <c r="AL7" s="25"/>
      <c r="AM7" s="27"/>
      <c r="AN7" s="25"/>
      <c r="AO7" s="28"/>
      <c r="AP7" s="25"/>
      <c r="AX7" s="29"/>
      <c r="AY7" s="29"/>
    </row>
    <row r="8" spans="1:52">
      <c r="B8" s="44" t="s">
        <v>90</v>
      </c>
      <c r="C8" s="1" t="e">
        <f>VLOOKUP(B8,#REF!,2,FALSE)</f>
        <v>#REF!</v>
      </c>
      <c r="D8" s="1" t="e">
        <f>VLOOKUP(B8,#REF!,2,FALSE)</f>
        <v>#REF!</v>
      </c>
      <c r="E8" s="1" t="e">
        <f>VLOOKUP(B8,#REF!,2,FALSE)</f>
        <v>#REF!</v>
      </c>
      <c r="F8" s="60" t="e">
        <f>VLOOKUP(B8,#REF!,2,FALSE)</f>
        <v>#REF!</v>
      </c>
      <c r="G8" s="61" t="e">
        <f>VLOOKUP(B8,#REF!,2,FALSE)</f>
        <v>#REF!</v>
      </c>
      <c r="H8" s="42" t="e">
        <f>VLOOKUP(B8,#REF!,2,FALSE)</f>
        <v>#REF!</v>
      </c>
      <c r="I8" s="43" t="e">
        <f>VLOOKUP(B8,#REF!,2,FALSE)</f>
        <v>#REF!</v>
      </c>
      <c r="J8" s="43" t="e">
        <f>VLOOKUP(B8,#REF!,2,FALSE)</f>
        <v>#REF!</v>
      </c>
      <c r="K8" s="1" t="e">
        <f>VLOOKUP(B8,#REF!,3,FALSE)</f>
        <v>#REF!</v>
      </c>
      <c r="L8" s="1" t="e">
        <f>VLOOKUP(B8,#REF!,4,FALSE)</f>
        <v>#REF!</v>
      </c>
      <c r="M8" s="1" t="e">
        <f>VLOOKUP(B8,#REF!,5,FALSE)</f>
        <v>#REF!</v>
      </c>
      <c r="N8" s="1" t="e">
        <f>VLOOKUP(B8,#REF!,6,FALSE)</f>
        <v>#REF!</v>
      </c>
      <c r="O8" s="63" t="e">
        <f>VLOOKUP(B8,#REF!,2,FALSE)</f>
        <v>#REF!</v>
      </c>
      <c r="P8" s="45" t="e">
        <f>VLOOKUP(B8,#REF!,2,FALSE)</f>
        <v>#REF!</v>
      </c>
      <c r="Q8" s="64" t="e">
        <f>VLOOKUP(B8,#REF!,2,FALSE)</f>
        <v>#REF!</v>
      </c>
      <c r="R8" s="43" t="e">
        <f>VLOOKUP(B8,#REF!,3,FALSE)</f>
        <v>#REF!</v>
      </c>
      <c r="S8" s="4" t="e">
        <f>VLOOKUP(B8,#REF!,4,FALSE)</f>
        <v>#REF!</v>
      </c>
      <c r="T8" s="59" t="e">
        <f>VLOOKUP(B8,#REF!,2,FALSE)</f>
        <v>#REF!</v>
      </c>
      <c r="U8" s="2" t="e">
        <f>VLOOKUP(B8,#REF!,2,FALSE)</f>
        <v>#REF!</v>
      </c>
      <c r="V8" s="2">
        <v>7.4276786446881733</v>
      </c>
      <c r="W8" s="4">
        <f t="shared" si="0"/>
        <v>2.3479457218320114E-2</v>
      </c>
      <c r="X8" s="66">
        <f t="shared" si="1"/>
        <v>557871.90350728587</v>
      </c>
      <c r="Y8" s="22"/>
      <c r="Z8" s="22"/>
      <c r="AE8" s="24"/>
      <c r="AF8" s="25"/>
      <c r="AG8" s="25"/>
      <c r="AH8" s="25"/>
      <c r="AI8" s="26"/>
      <c r="AJ8" s="25"/>
      <c r="AK8" s="25"/>
      <c r="AL8" s="25"/>
      <c r="AM8" s="27"/>
      <c r="AN8" s="25"/>
      <c r="AO8" s="28"/>
      <c r="AP8" s="25"/>
      <c r="AX8" s="29"/>
      <c r="AY8" s="29"/>
    </row>
    <row r="9" spans="1:52">
      <c r="B9" s="44" t="s">
        <v>227</v>
      </c>
      <c r="C9" s="1" t="e">
        <f>VLOOKUP(B9,#REF!,2,FALSE)</f>
        <v>#REF!</v>
      </c>
      <c r="D9" s="1" t="e">
        <f>VLOOKUP(B9,#REF!,2,FALSE)</f>
        <v>#REF!</v>
      </c>
      <c r="E9" s="1" t="e">
        <f>VLOOKUP(B9,#REF!,2,FALSE)</f>
        <v>#REF!</v>
      </c>
      <c r="F9" s="60" t="e">
        <f>VLOOKUP(B9,#REF!,2,FALSE)</f>
        <v>#REF!</v>
      </c>
      <c r="G9" s="61" t="e">
        <f>VLOOKUP(B9,#REF!,2,FALSE)</f>
        <v>#REF!</v>
      </c>
      <c r="H9" s="42" t="e">
        <f>VLOOKUP(B9,#REF!,2,FALSE)</f>
        <v>#REF!</v>
      </c>
      <c r="I9" s="43" t="e">
        <f>VLOOKUP(B9,#REF!,2,FALSE)</f>
        <v>#REF!</v>
      </c>
      <c r="J9" s="43" t="e">
        <f>VLOOKUP(B9,#REF!,2,FALSE)</f>
        <v>#REF!</v>
      </c>
      <c r="K9" s="1" t="e">
        <f>VLOOKUP(B9,#REF!,3,FALSE)</f>
        <v>#REF!</v>
      </c>
      <c r="L9" s="1" t="e">
        <f>VLOOKUP(B9,#REF!,4,FALSE)</f>
        <v>#REF!</v>
      </c>
      <c r="M9" s="1" t="e">
        <f>VLOOKUP(B9,#REF!,5,FALSE)</f>
        <v>#REF!</v>
      </c>
      <c r="N9" s="1" t="e">
        <f>VLOOKUP(B9,#REF!,6,FALSE)</f>
        <v>#REF!</v>
      </c>
      <c r="O9" s="63" t="e">
        <f>VLOOKUP(B9,#REF!,2,FALSE)</f>
        <v>#REF!</v>
      </c>
      <c r="P9" s="45" t="e">
        <f>VLOOKUP(B9,#REF!,2,FALSE)</f>
        <v>#REF!</v>
      </c>
      <c r="Q9" s="64" t="e">
        <f>VLOOKUP(B9,#REF!,2,FALSE)</f>
        <v>#REF!</v>
      </c>
      <c r="R9" s="43" t="e">
        <f>VLOOKUP(B9,#REF!,3,FALSE)</f>
        <v>#REF!</v>
      </c>
      <c r="S9" s="4" t="e">
        <f>VLOOKUP(B9,#REF!,4,FALSE)</f>
        <v>#REF!</v>
      </c>
      <c r="T9" s="59" t="e">
        <f>VLOOKUP(B9,#REF!,2,FALSE)</f>
        <v>#REF!</v>
      </c>
      <c r="U9" s="2" t="e">
        <f>VLOOKUP(B9,#REF!,2,FALSE)</f>
        <v>#REF!</v>
      </c>
      <c r="V9" s="2">
        <v>6.8810568893062252</v>
      </c>
      <c r="W9" s="4">
        <f t="shared" si="0"/>
        <v>2.1751544268118386E-2</v>
      </c>
      <c r="X9" s="66">
        <f t="shared" si="1"/>
        <v>516816.69181049283</v>
      </c>
      <c r="Y9" s="22"/>
      <c r="Z9" s="22"/>
      <c r="AE9" s="24"/>
      <c r="AF9" s="25"/>
      <c r="AG9" s="25"/>
      <c r="AH9" s="25"/>
      <c r="AI9" s="26"/>
      <c r="AJ9" s="25"/>
      <c r="AK9" s="25"/>
      <c r="AL9" s="25"/>
      <c r="AM9" s="27"/>
      <c r="AN9" s="25"/>
      <c r="AO9" s="28"/>
      <c r="AP9" s="25"/>
      <c r="AX9" s="29"/>
      <c r="AY9" s="29"/>
    </row>
    <row r="10" spans="1:52">
      <c r="B10" s="44" t="s">
        <v>161</v>
      </c>
      <c r="C10" s="1" t="e">
        <f>VLOOKUP(B10,#REF!,2,FALSE)</f>
        <v>#REF!</v>
      </c>
      <c r="D10" s="1" t="e">
        <f>VLOOKUP(B10,#REF!,2,FALSE)</f>
        <v>#REF!</v>
      </c>
      <c r="E10" s="1" t="e">
        <f>VLOOKUP(B10,#REF!,2,FALSE)</f>
        <v>#REF!</v>
      </c>
      <c r="F10" s="60" t="e">
        <f>VLOOKUP(B10,#REF!,2,FALSE)</f>
        <v>#REF!</v>
      </c>
      <c r="G10" s="61" t="e">
        <f>VLOOKUP(B10,#REF!,2,FALSE)</f>
        <v>#REF!</v>
      </c>
      <c r="H10" s="42" t="e">
        <f>VLOOKUP(B10,#REF!,2,FALSE)</f>
        <v>#REF!</v>
      </c>
      <c r="I10" s="43" t="e">
        <f>VLOOKUP(B10,#REF!,2,FALSE)</f>
        <v>#REF!</v>
      </c>
      <c r="J10" s="43" t="e">
        <f>VLOOKUP(B10,#REF!,2,FALSE)</f>
        <v>#REF!</v>
      </c>
      <c r="K10" s="1" t="e">
        <f>VLOOKUP(B10,#REF!,3,FALSE)</f>
        <v>#REF!</v>
      </c>
      <c r="L10" s="1" t="e">
        <f>VLOOKUP(B10,#REF!,4,FALSE)</f>
        <v>#REF!</v>
      </c>
      <c r="M10" s="1" t="e">
        <f>VLOOKUP(B10,#REF!,5,FALSE)</f>
        <v>#REF!</v>
      </c>
      <c r="N10" s="1" t="e">
        <f>VLOOKUP(B10,#REF!,6,FALSE)</f>
        <v>#REF!</v>
      </c>
      <c r="O10" s="63" t="e">
        <f>VLOOKUP(B10,#REF!,2,FALSE)</f>
        <v>#REF!</v>
      </c>
      <c r="P10" s="45" t="e">
        <f>VLOOKUP(B10,#REF!,2,FALSE)</f>
        <v>#REF!</v>
      </c>
      <c r="Q10" s="64" t="e">
        <f>VLOOKUP(B10,#REF!,2,FALSE)</f>
        <v>#REF!</v>
      </c>
      <c r="R10" s="43" t="e">
        <f>VLOOKUP(B10,#REF!,3,FALSE)</f>
        <v>#REF!</v>
      </c>
      <c r="S10" s="4" t="e">
        <f>VLOOKUP(B10,#REF!,4,FALSE)</f>
        <v>#REF!</v>
      </c>
      <c r="T10" s="59" t="e">
        <f>VLOOKUP(B10,#REF!,2,FALSE)</f>
        <v>#REF!</v>
      </c>
      <c r="U10" s="2" t="e">
        <f>VLOOKUP(B10,#REF!,2,FALSE)</f>
        <v>#REF!</v>
      </c>
      <c r="V10" s="2">
        <v>9.2950082326829815</v>
      </c>
      <c r="W10" s="4">
        <f t="shared" si="0"/>
        <v>2.9382228093468556E-2</v>
      </c>
      <c r="X10" s="66">
        <f t="shared" si="1"/>
        <v>698121.73950081284</v>
      </c>
      <c r="Y10" s="22"/>
      <c r="Z10" s="22"/>
      <c r="AE10" s="24"/>
      <c r="AF10" s="25"/>
      <c r="AG10" s="25"/>
      <c r="AH10" s="25"/>
      <c r="AI10" s="26"/>
      <c r="AJ10" s="25"/>
      <c r="AK10" s="25"/>
      <c r="AL10" s="25"/>
      <c r="AM10" s="27"/>
      <c r="AN10" s="25"/>
      <c r="AO10" s="28"/>
      <c r="AP10" s="25"/>
      <c r="AX10" s="29"/>
      <c r="AY10" s="29"/>
    </row>
    <row r="11" spans="1:52">
      <c r="B11" s="44" t="s">
        <v>154</v>
      </c>
      <c r="C11" s="1" t="e">
        <f>VLOOKUP(B11,#REF!,2,FALSE)</f>
        <v>#REF!</v>
      </c>
      <c r="D11" s="1" t="e">
        <f>VLOOKUP(B11,#REF!,2,FALSE)</f>
        <v>#REF!</v>
      </c>
      <c r="E11" s="1" t="e">
        <f>VLOOKUP(B11,#REF!,2,FALSE)</f>
        <v>#REF!</v>
      </c>
      <c r="F11" s="60" t="e">
        <f>VLOOKUP(B11,#REF!,2,FALSE)</f>
        <v>#REF!</v>
      </c>
      <c r="G11" s="61" t="e">
        <f>VLOOKUP(B11,#REF!,2,FALSE)</f>
        <v>#REF!</v>
      </c>
      <c r="H11" s="42" t="e">
        <f>VLOOKUP(B11,#REF!,2,FALSE)</f>
        <v>#REF!</v>
      </c>
      <c r="I11" s="43" t="e">
        <f>VLOOKUP(B11,#REF!,2,FALSE)</f>
        <v>#REF!</v>
      </c>
      <c r="J11" s="43" t="e">
        <f>VLOOKUP(B11,#REF!,2,FALSE)</f>
        <v>#REF!</v>
      </c>
      <c r="K11" s="1" t="e">
        <f>VLOOKUP(B11,#REF!,3,FALSE)</f>
        <v>#REF!</v>
      </c>
      <c r="L11" s="1" t="e">
        <f>VLOOKUP(B11,#REF!,4,FALSE)</f>
        <v>#REF!</v>
      </c>
      <c r="M11" s="1" t="e">
        <f>VLOOKUP(B11,#REF!,5,FALSE)</f>
        <v>#REF!</v>
      </c>
      <c r="N11" s="1" t="e">
        <f>VLOOKUP(B11,#REF!,6,FALSE)</f>
        <v>#REF!</v>
      </c>
      <c r="O11" s="63" t="e">
        <f>VLOOKUP(B11,#REF!,2,FALSE)</f>
        <v>#REF!</v>
      </c>
      <c r="P11" s="45" t="e">
        <f>VLOOKUP(B11,#REF!,2,FALSE)</f>
        <v>#REF!</v>
      </c>
      <c r="Q11" s="64" t="e">
        <f>VLOOKUP(B11,#REF!,2,FALSE)</f>
        <v>#REF!</v>
      </c>
      <c r="R11" s="43" t="e">
        <f>VLOOKUP(B11,#REF!,3,FALSE)</f>
        <v>#REF!</v>
      </c>
      <c r="S11" s="4" t="e">
        <f>VLOOKUP(B11,#REF!,4,FALSE)</f>
        <v>#REF!</v>
      </c>
      <c r="T11" s="59" t="e">
        <f>VLOOKUP(B11,#REF!,2,FALSE)</f>
        <v>#REF!</v>
      </c>
      <c r="U11" s="2" t="e">
        <f>VLOOKUP(B11,#REF!,2,FALSE)</f>
        <v>#REF!</v>
      </c>
      <c r="V11" s="2">
        <v>10.295008232682999</v>
      </c>
      <c r="W11" s="4">
        <f t="shared" si="0"/>
        <v>3.254330416332675E-2</v>
      </c>
      <c r="X11" s="66">
        <f t="shared" ref="X11:X22" si="2">W11*$X$1</f>
        <v>773228.90692064352</v>
      </c>
      <c r="Y11" s="22"/>
      <c r="Z11" s="22"/>
      <c r="AE11" s="24"/>
      <c r="AF11" s="25"/>
      <c r="AG11" s="25"/>
      <c r="AH11" s="25"/>
      <c r="AI11" s="26"/>
      <c r="AJ11" s="25"/>
      <c r="AK11" s="25"/>
      <c r="AL11" s="25"/>
      <c r="AM11" s="27"/>
      <c r="AN11" s="25"/>
      <c r="AO11" s="28"/>
      <c r="AP11" s="25"/>
      <c r="AX11" s="29"/>
      <c r="AY11" s="29"/>
    </row>
    <row r="12" spans="1:52">
      <c r="B12" s="44" t="s">
        <v>177</v>
      </c>
      <c r="C12" s="1" t="e">
        <f>VLOOKUP(B12,#REF!,2,FALSE)</f>
        <v>#REF!</v>
      </c>
      <c r="D12" s="1" t="e">
        <f>VLOOKUP(B12,#REF!,2,FALSE)</f>
        <v>#REF!</v>
      </c>
      <c r="E12" s="1" t="e">
        <f>VLOOKUP(B12,#REF!,2,FALSE)</f>
        <v>#REF!</v>
      </c>
      <c r="F12" s="60" t="e">
        <f>VLOOKUP(B12,#REF!,2,FALSE)</f>
        <v>#REF!</v>
      </c>
      <c r="G12" s="61" t="e">
        <f>VLOOKUP(B12,#REF!,2,FALSE)</f>
        <v>#REF!</v>
      </c>
      <c r="H12" s="42" t="e">
        <f>VLOOKUP(B12,#REF!,2,FALSE)</f>
        <v>#REF!</v>
      </c>
      <c r="I12" s="43" t="e">
        <f>VLOOKUP(B12,#REF!,2,FALSE)</f>
        <v>#REF!</v>
      </c>
      <c r="J12" s="43" t="e">
        <f>VLOOKUP(B12,#REF!,2,FALSE)</f>
        <v>#REF!</v>
      </c>
      <c r="K12" s="1" t="e">
        <f>VLOOKUP(B12,#REF!,3,FALSE)</f>
        <v>#REF!</v>
      </c>
      <c r="L12" s="1" t="e">
        <f>VLOOKUP(B12,#REF!,4,FALSE)</f>
        <v>#REF!</v>
      </c>
      <c r="M12" s="1" t="e">
        <f>VLOOKUP(B12,#REF!,5,FALSE)</f>
        <v>#REF!</v>
      </c>
      <c r="N12" s="1" t="e">
        <f>VLOOKUP(B12,#REF!,6,FALSE)</f>
        <v>#REF!</v>
      </c>
      <c r="O12" s="63" t="e">
        <f>VLOOKUP(B12,#REF!,2,FALSE)</f>
        <v>#REF!</v>
      </c>
      <c r="P12" s="45" t="e">
        <f>VLOOKUP(B12,#REF!,2,FALSE)</f>
        <v>#REF!</v>
      </c>
      <c r="Q12" s="64" t="e">
        <f>VLOOKUP(B12,#REF!,2,FALSE)</f>
        <v>#REF!</v>
      </c>
      <c r="R12" s="43" t="e">
        <f>VLOOKUP(B12,#REF!,3,FALSE)</f>
        <v>#REF!</v>
      </c>
      <c r="S12" s="4" t="e">
        <f>VLOOKUP(B12,#REF!,4,FALSE)</f>
        <v>#REF!</v>
      </c>
      <c r="T12" s="59" t="e">
        <f>VLOOKUP(B12,#REF!,2,FALSE)</f>
        <v>#REF!</v>
      </c>
      <c r="U12" s="2" t="e">
        <f>VLOOKUP(B12,#REF!,2,FALSE)</f>
        <v>#REF!</v>
      </c>
      <c r="V12" s="2">
        <v>11.295008232682999</v>
      </c>
      <c r="W12" s="4">
        <f t="shared" si="0"/>
        <v>3.5704380233184889E-2</v>
      </c>
      <c r="X12" s="66">
        <f t="shared" si="2"/>
        <v>848336.07434047293</v>
      </c>
      <c r="Y12" s="22"/>
      <c r="Z12" s="22"/>
      <c r="AE12" s="24"/>
      <c r="AF12" s="25"/>
      <c r="AG12" s="25"/>
      <c r="AH12" s="25"/>
      <c r="AI12" s="26"/>
      <c r="AJ12" s="25"/>
      <c r="AK12" s="25"/>
      <c r="AL12" s="25"/>
      <c r="AM12" s="27"/>
      <c r="AN12" s="25"/>
      <c r="AO12" s="28"/>
      <c r="AP12" s="25"/>
      <c r="AX12" s="29"/>
      <c r="AY12" s="29"/>
    </row>
    <row r="13" spans="1:52">
      <c r="B13" s="44" t="s">
        <v>142</v>
      </c>
      <c r="C13" s="1" t="e">
        <f>VLOOKUP(B13,#REF!,2,FALSE)</f>
        <v>#REF!</v>
      </c>
      <c r="D13" s="1" t="e">
        <f>VLOOKUP(B13,#REF!,2,FALSE)</f>
        <v>#REF!</v>
      </c>
      <c r="E13" s="1" t="e">
        <f>VLOOKUP(B13,#REF!,2,FALSE)</f>
        <v>#REF!</v>
      </c>
      <c r="F13" s="60" t="e">
        <f>VLOOKUP(B13,#REF!,2,FALSE)</f>
        <v>#REF!</v>
      </c>
      <c r="G13" s="61" t="e">
        <f>VLOOKUP(B13,#REF!,2,FALSE)</f>
        <v>#REF!</v>
      </c>
      <c r="H13" s="42" t="e">
        <f>VLOOKUP(B13,#REF!,2,FALSE)</f>
        <v>#REF!</v>
      </c>
      <c r="I13" s="43" t="e">
        <f>VLOOKUP(B13,#REF!,2,FALSE)</f>
        <v>#REF!</v>
      </c>
      <c r="J13" s="43" t="e">
        <f>VLOOKUP(B13,#REF!,2,FALSE)</f>
        <v>#REF!</v>
      </c>
      <c r="K13" s="1" t="e">
        <f>VLOOKUP(B13,#REF!,3,FALSE)</f>
        <v>#REF!</v>
      </c>
      <c r="L13" s="1" t="e">
        <f>VLOOKUP(B13,#REF!,4,FALSE)</f>
        <v>#REF!</v>
      </c>
      <c r="M13" s="1" t="e">
        <f>VLOOKUP(B13,#REF!,5,FALSE)</f>
        <v>#REF!</v>
      </c>
      <c r="N13" s="1" t="e">
        <f>VLOOKUP(B13,#REF!,6,FALSE)</f>
        <v>#REF!</v>
      </c>
      <c r="O13" s="63" t="e">
        <f>VLOOKUP(B13,#REF!,2,FALSE)</f>
        <v>#REF!</v>
      </c>
      <c r="P13" s="45" t="e">
        <f>VLOOKUP(B13,#REF!,2,FALSE)</f>
        <v>#REF!</v>
      </c>
      <c r="Q13" s="64" t="e">
        <f>VLOOKUP(B13,#REF!,2,FALSE)</f>
        <v>#REF!</v>
      </c>
      <c r="R13" s="43" t="e">
        <f>VLOOKUP(B13,#REF!,3,FALSE)</f>
        <v>#REF!</v>
      </c>
      <c r="S13" s="4" t="e">
        <f>VLOOKUP(B13,#REF!,4,FALSE)</f>
        <v>#REF!</v>
      </c>
      <c r="T13" s="59" t="e">
        <f>VLOOKUP(B13,#REF!,2,FALSE)</f>
        <v>#REF!</v>
      </c>
      <c r="U13" s="2" t="e">
        <f>VLOOKUP(B13,#REF!,2,FALSE)</f>
        <v>#REF!</v>
      </c>
      <c r="V13" s="2">
        <v>12.295008232682999</v>
      </c>
      <c r="W13" s="4">
        <f t="shared" si="0"/>
        <v>3.8865456303043028E-2</v>
      </c>
      <c r="X13" s="66">
        <f t="shared" si="2"/>
        <v>923443.24176030234</v>
      </c>
      <c r="Y13" s="22"/>
      <c r="Z13" s="22"/>
      <c r="AE13" s="24"/>
      <c r="AF13" s="25"/>
      <c r="AG13" s="25"/>
      <c r="AH13" s="25"/>
      <c r="AI13" s="26"/>
      <c r="AJ13" s="25"/>
      <c r="AK13" s="25"/>
      <c r="AL13" s="25"/>
      <c r="AM13" s="27"/>
      <c r="AN13" s="25"/>
      <c r="AO13" s="28"/>
      <c r="AP13" s="25"/>
      <c r="AX13" s="29"/>
      <c r="AY13" s="29"/>
    </row>
    <row r="14" spans="1:52">
      <c r="B14" s="44" t="s">
        <v>136</v>
      </c>
      <c r="C14" s="1" t="e">
        <f>VLOOKUP(B14,#REF!,2,FALSE)</f>
        <v>#REF!</v>
      </c>
      <c r="D14" s="1" t="e">
        <f>VLOOKUP(B14,#REF!,2,FALSE)</f>
        <v>#REF!</v>
      </c>
      <c r="E14" s="1" t="e">
        <f>VLOOKUP(B14,#REF!,2,FALSE)</f>
        <v>#REF!</v>
      </c>
      <c r="F14" s="60" t="e">
        <f>VLOOKUP(B14,#REF!,2,FALSE)</f>
        <v>#REF!</v>
      </c>
      <c r="G14" s="61" t="e">
        <f>VLOOKUP(B14,#REF!,2,FALSE)</f>
        <v>#REF!</v>
      </c>
      <c r="H14" s="42" t="e">
        <f>VLOOKUP(B14,#REF!,2,FALSE)</f>
        <v>#REF!</v>
      </c>
      <c r="I14" s="43" t="e">
        <f>VLOOKUP(B14,#REF!,2,FALSE)</f>
        <v>#REF!</v>
      </c>
      <c r="J14" s="43" t="e">
        <f>VLOOKUP(B14,#REF!,2,FALSE)</f>
        <v>#REF!</v>
      </c>
      <c r="K14" s="1" t="e">
        <f>VLOOKUP(B14,#REF!,3,FALSE)</f>
        <v>#REF!</v>
      </c>
      <c r="L14" s="1" t="e">
        <f>VLOOKUP(B14,#REF!,4,FALSE)</f>
        <v>#REF!</v>
      </c>
      <c r="M14" s="1" t="e">
        <f>VLOOKUP(B14,#REF!,5,FALSE)</f>
        <v>#REF!</v>
      </c>
      <c r="N14" s="1" t="e">
        <f>VLOOKUP(B14,#REF!,6,FALSE)</f>
        <v>#REF!</v>
      </c>
      <c r="O14" s="63" t="e">
        <f>VLOOKUP(B14,#REF!,2,FALSE)</f>
        <v>#REF!</v>
      </c>
      <c r="P14" s="45" t="e">
        <f>VLOOKUP(B14,#REF!,2,FALSE)</f>
        <v>#REF!</v>
      </c>
      <c r="Q14" s="64" t="e">
        <f>VLOOKUP(B14,#REF!,2,FALSE)</f>
        <v>#REF!</v>
      </c>
      <c r="R14" s="43" t="e">
        <f>VLOOKUP(B14,#REF!,3,FALSE)</f>
        <v>#REF!</v>
      </c>
      <c r="S14" s="4" t="e">
        <f>VLOOKUP(B14,#REF!,4,FALSE)</f>
        <v>#REF!</v>
      </c>
      <c r="T14" s="59" t="e">
        <f>VLOOKUP(B14,#REF!,2,FALSE)</f>
        <v>#REF!</v>
      </c>
      <c r="U14" s="2" t="e">
        <f>VLOOKUP(B14,#REF!,2,FALSE)</f>
        <v>#REF!</v>
      </c>
      <c r="V14" s="2">
        <v>13.295008232682999</v>
      </c>
      <c r="W14" s="4">
        <f t="shared" si="0"/>
        <v>4.2026532372901167E-2</v>
      </c>
      <c r="X14" s="66">
        <f t="shared" si="2"/>
        <v>998550.40918013174</v>
      </c>
      <c r="Y14" s="22"/>
      <c r="Z14" s="22"/>
      <c r="AE14" s="24"/>
      <c r="AF14" s="25"/>
      <c r="AG14" s="25"/>
      <c r="AH14" s="25"/>
      <c r="AI14" s="26"/>
      <c r="AJ14" s="25"/>
      <c r="AK14" s="25"/>
      <c r="AL14" s="25"/>
      <c r="AM14" s="27"/>
      <c r="AN14" s="25"/>
      <c r="AO14" s="28"/>
      <c r="AP14" s="25"/>
      <c r="AX14" s="29"/>
      <c r="AY14" s="29"/>
    </row>
    <row r="15" spans="1:52">
      <c r="B15" s="44" t="s">
        <v>168</v>
      </c>
      <c r="C15" s="1" t="e">
        <f>VLOOKUP(B15,#REF!,2,FALSE)</f>
        <v>#REF!</v>
      </c>
      <c r="D15" s="1" t="e">
        <f>VLOOKUP(B15,#REF!,2,FALSE)</f>
        <v>#REF!</v>
      </c>
      <c r="E15" s="1" t="e">
        <f>VLOOKUP(B15,#REF!,2,FALSE)</f>
        <v>#REF!</v>
      </c>
      <c r="F15" s="60" t="e">
        <f>VLOOKUP(B15,#REF!,2,FALSE)</f>
        <v>#REF!</v>
      </c>
      <c r="G15" s="61" t="e">
        <f>VLOOKUP(B15,#REF!,2,FALSE)</f>
        <v>#REF!</v>
      </c>
      <c r="H15" s="42" t="e">
        <f>VLOOKUP(B15,#REF!,2,FALSE)</f>
        <v>#REF!</v>
      </c>
      <c r="I15" s="43" t="e">
        <f>VLOOKUP(B15,#REF!,2,FALSE)</f>
        <v>#REF!</v>
      </c>
      <c r="J15" s="43" t="e">
        <f>VLOOKUP(B15,#REF!,2,FALSE)</f>
        <v>#REF!</v>
      </c>
      <c r="K15" s="1" t="e">
        <f>VLOOKUP(B15,#REF!,3,FALSE)</f>
        <v>#REF!</v>
      </c>
      <c r="L15" s="1" t="e">
        <f>VLOOKUP(B15,#REF!,4,FALSE)</f>
        <v>#REF!</v>
      </c>
      <c r="M15" s="1" t="e">
        <f>VLOOKUP(B15,#REF!,5,FALSE)</f>
        <v>#REF!</v>
      </c>
      <c r="N15" s="1" t="e">
        <f>VLOOKUP(B15,#REF!,6,FALSE)</f>
        <v>#REF!</v>
      </c>
      <c r="O15" s="63" t="e">
        <f>VLOOKUP(B15,#REF!,2,FALSE)</f>
        <v>#REF!</v>
      </c>
      <c r="P15" s="45" t="e">
        <f>VLOOKUP(B15,#REF!,2,FALSE)</f>
        <v>#REF!</v>
      </c>
      <c r="Q15" s="64" t="e">
        <f>VLOOKUP(B15,#REF!,2,FALSE)</f>
        <v>#REF!</v>
      </c>
      <c r="R15" s="43" t="e">
        <f>VLOOKUP(B15,#REF!,3,FALSE)</f>
        <v>#REF!</v>
      </c>
      <c r="S15" s="4" t="e">
        <f>VLOOKUP(B15,#REF!,4,FALSE)</f>
        <v>#REF!</v>
      </c>
      <c r="T15" s="59" t="e">
        <f>VLOOKUP(B15,#REF!,2,FALSE)</f>
        <v>#REF!</v>
      </c>
      <c r="U15" s="2" t="e">
        <f>VLOOKUP(B15,#REF!,2,FALSE)</f>
        <v>#REF!</v>
      </c>
      <c r="V15" s="2">
        <v>14.295008232682999</v>
      </c>
      <c r="W15" s="4">
        <f t="shared" si="0"/>
        <v>4.5187608442759306E-2</v>
      </c>
      <c r="X15" s="66">
        <f t="shared" si="2"/>
        <v>1073657.5765999611</v>
      </c>
      <c r="Y15" s="22"/>
      <c r="Z15" s="22"/>
      <c r="AE15" s="24"/>
      <c r="AF15" s="25"/>
      <c r="AG15" s="25"/>
      <c r="AH15" s="25"/>
      <c r="AI15" s="26"/>
      <c r="AJ15" s="25"/>
      <c r="AK15" s="25"/>
      <c r="AL15" s="25"/>
      <c r="AM15" s="27"/>
      <c r="AN15" s="25"/>
      <c r="AO15" s="28"/>
      <c r="AP15" s="25"/>
      <c r="AX15" s="29"/>
      <c r="AY15" s="29"/>
    </row>
    <row r="16" spans="1:52">
      <c r="B16" s="44" t="s">
        <v>184</v>
      </c>
      <c r="C16" s="1" t="e">
        <f>VLOOKUP(B16,#REF!,2,FALSE)</f>
        <v>#REF!</v>
      </c>
      <c r="D16" s="1" t="e">
        <f>VLOOKUP(B16,#REF!,2,FALSE)</f>
        <v>#REF!</v>
      </c>
      <c r="E16" s="1" t="e">
        <f>VLOOKUP(B16,#REF!,2,FALSE)</f>
        <v>#REF!</v>
      </c>
      <c r="F16" s="60" t="e">
        <f>VLOOKUP(B16,#REF!,2,FALSE)</f>
        <v>#REF!</v>
      </c>
      <c r="G16" s="61" t="e">
        <f>VLOOKUP(B16,#REF!,2,FALSE)</f>
        <v>#REF!</v>
      </c>
      <c r="H16" s="42" t="e">
        <f>VLOOKUP(B16,#REF!,2,FALSE)</f>
        <v>#REF!</v>
      </c>
      <c r="I16" s="43" t="e">
        <f>VLOOKUP(B16,#REF!,2,FALSE)</f>
        <v>#REF!</v>
      </c>
      <c r="J16" s="43" t="e">
        <f>VLOOKUP(B16,#REF!,2,FALSE)</f>
        <v>#REF!</v>
      </c>
      <c r="K16" s="1" t="e">
        <f>VLOOKUP(B16,#REF!,3,FALSE)</f>
        <v>#REF!</v>
      </c>
      <c r="L16" s="1" t="e">
        <f>VLOOKUP(B16,#REF!,4,FALSE)</f>
        <v>#REF!</v>
      </c>
      <c r="M16" s="1" t="e">
        <f>VLOOKUP(B16,#REF!,5,FALSE)</f>
        <v>#REF!</v>
      </c>
      <c r="N16" s="1" t="e">
        <f>VLOOKUP(B16,#REF!,6,FALSE)</f>
        <v>#REF!</v>
      </c>
      <c r="O16" s="63" t="e">
        <f>VLOOKUP(B16,#REF!,2,FALSE)</f>
        <v>#REF!</v>
      </c>
      <c r="P16" s="45" t="e">
        <f>VLOOKUP(B16,#REF!,2,FALSE)</f>
        <v>#REF!</v>
      </c>
      <c r="Q16" s="64" t="e">
        <f>VLOOKUP(B16,#REF!,2,FALSE)</f>
        <v>#REF!</v>
      </c>
      <c r="R16" s="43" t="e">
        <f>VLOOKUP(B16,#REF!,3,FALSE)</f>
        <v>#REF!</v>
      </c>
      <c r="S16" s="4" t="e">
        <f>VLOOKUP(B16,#REF!,4,FALSE)</f>
        <v>#REF!</v>
      </c>
      <c r="T16" s="59" t="e">
        <f>VLOOKUP(B16,#REF!,2,FALSE)</f>
        <v>#REF!</v>
      </c>
      <c r="U16" s="2" t="e">
        <f>VLOOKUP(B16,#REF!,2,FALSE)</f>
        <v>#REF!</v>
      </c>
      <c r="V16" s="2">
        <v>15.295008232682999</v>
      </c>
      <c r="W16" s="4">
        <f t="shared" si="0"/>
        <v>4.8348684512617444E-2</v>
      </c>
      <c r="X16" s="66">
        <f t="shared" si="2"/>
        <v>1148764.7440197906</v>
      </c>
      <c r="Y16" s="22"/>
      <c r="Z16" s="22"/>
      <c r="AE16" s="24"/>
      <c r="AF16" s="25"/>
      <c r="AG16" s="25"/>
      <c r="AH16" s="25"/>
      <c r="AI16" s="26"/>
      <c r="AJ16" s="25"/>
      <c r="AK16" s="25"/>
      <c r="AL16" s="25"/>
      <c r="AM16" s="27"/>
      <c r="AN16" s="25"/>
      <c r="AO16" s="28"/>
      <c r="AP16" s="25"/>
      <c r="AX16" s="29"/>
      <c r="AY16" s="29"/>
    </row>
    <row r="17" spans="2:51">
      <c r="B17" s="44" t="s">
        <v>171</v>
      </c>
      <c r="C17" s="1" t="e">
        <f>VLOOKUP(B17,#REF!,2,FALSE)</f>
        <v>#REF!</v>
      </c>
      <c r="D17" s="1" t="e">
        <f>VLOOKUP(B17,#REF!,2,FALSE)</f>
        <v>#REF!</v>
      </c>
      <c r="E17" s="1" t="e">
        <f>VLOOKUP(B17,#REF!,2,FALSE)</f>
        <v>#REF!</v>
      </c>
      <c r="F17" s="60" t="e">
        <f>VLOOKUP(B17,#REF!,2,FALSE)</f>
        <v>#REF!</v>
      </c>
      <c r="G17" s="61" t="e">
        <f>VLOOKUP(B17,#REF!,2,FALSE)</f>
        <v>#REF!</v>
      </c>
      <c r="H17" s="42" t="e">
        <f>VLOOKUP(B17,#REF!,2,FALSE)</f>
        <v>#REF!</v>
      </c>
      <c r="I17" s="43" t="e">
        <f>VLOOKUP(B17,#REF!,2,FALSE)</f>
        <v>#REF!</v>
      </c>
      <c r="J17" s="43" t="e">
        <f>VLOOKUP(B17,#REF!,2,FALSE)</f>
        <v>#REF!</v>
      </c>
      <c r="K17" s="1" t="e">
        <f>VLOOKUP(B17,#REF!,3,FALSE)</f>
        <v>#REF!</v>
      </c>
      <c r="L17" s="1" t="e">
        <f>VLOOKUP(B17,#REF!,4,FALSE)</f>
        <v>#REF!</v>
      </c>
      <c r="M17" s="1" t="e">
        <f>VLOOKUP(B17,#REF!,5,FALSE)</f>
        <v>#REF!</v>
      </c>
      <c r="N17" s="1" t="e">
        <f>VLOOKUP(B17,#REF!,6,FALSE)</f>
        <v>#REF!</v>
      </c>
      <c r="O17" s="63" t="e">
        <f>VLOOKUP(B17,#REF!,2,FALSE)</f>
        <v>#REF!</v>
      </c>
      <c r="P17" s="45" t="e">
        <f>VLOOKUP(B17,#REF!,2,FALSE)</f>
        <v>#REF!</v>
      </c>
      <c r="Q17" s="64" t="e">
        <f>VLOOKUP(B17,#REF!,2,FALSE)</f>
        <v>#REF!</v>
      </c>
      <c r="R17" s="43" t="e">
        <f>VLOOKUP(B17,#REF!,3,FALSE)</f>
        <v>#REF!</v>
      </c>
      <c r="S17" s="4" t="e">
        <f>VLOOKUP(B17,#REF!,4,FALSE)</f>
        <v>#REF!</v>
      </c>
      <c r="T17" s="59" t="e">
        <f>VLOOKUP(B17,#REF!,2,FALSE)</f>
        <v>#REF!</v>
      </c>
      <c r="U17" s="2" t="e">
        <f>VLOOKUP(B17,#REF!,2,FALSE)</f>
        <v>#REF!</v>
      </c>
      <c r="V17" s="2">
        <v>16.295008232682999</v>
      </c>
      <c r="W17" s="4">
        <f t="shared" si="0"/>
        <v>5.1509760582475583E-2</v>
      </c>
      <c r="X17" s="66">
        <f t="shared" si="2"/>
        <v>1223871.91143962</v>
      </c>
      <c r="Y17" s="22"/>
      <c r="Z17" s="22"/>
      <c r="AE17" s="24"/>
      <c r="AF17" s="25"/>
      <c r="AG17" s="25"/>
      <c r="AH17" s="25"/>
      <c r="AI17" s="26"/>
      <c r="AJ17" s="25"/>
      <c r="AK17" s="25"/>
      <c r="AL17" s="25"/>
      <c r="AM17" s="27"/>
      <c r="AN17" s="25"/>
      <c r="AO17" s="28"/>
      <c r="AP17" s="25"/>
      <c r="AX17" s="29"/>
      <c r="AY17" s="29"/>
    </row>
    <row r="18" spans="2:51">
      <c r="B18" s="44" t="s">
        <v>89</v>
      </c>
      <c r="C18" s="1" t="e">
        <f>VLOOKUP(B18,#REF!,2,FALSE)</f>
        <v>#REF!</v>
      </c>
      <c r="D18" s="1" t="e">
        <f>VLOOKUP(B18,#REF!,2,FALSE)</f>
        <v>#REF!</v>
      </c>
      <c r="E18" s="1" t="e">
        <f>VLOOKUP(B18,#REF!,2,FALSE)</f>
        <v>#REF!</v>
      </c>
      <c r="F18" s="60" t="e">
        <f>VLOOKUP(B18,#REF!,2,FALSE)</f>
        <v>#REF!</v>
      </c>
      <c r="G18" s="61" t="e">
        <f>VLOOKUP(B18,#REF!,2,FALSE)</f>
        <v>#REF!</v>
      </c>
      <c r="H18" s="42" t="e">
        <f>VLOOKUP(B18,#REF!,2,FALSE)</f>
        <v>#REF!</v>
      </c>
      <c r="I18" s="43" t="e">
        <f>VLOOKUP(B18,#REF!,2,FALSE)</f>
        <v>#REF!</v>
      </c>
      <c r="J18" s="43" t="e">
        <f>VLOOKUP(B18,#REF!,2,FALSE)</f>
        <v>#REF!</v>
      </c>
      <c r="K18" s="1" t="e">
        <f>VLOOKUP(B18,#REF!,3,FALSE)</f>
        <v>#REF!</v>
      </c>
      <c r="L18" s="1" t="e">
        <f>VLOOKUP(B18,#REF!,4,FALSE)</f>
        <v>#REF!</v>
      </c>
      <c r="M18" s="1" t="e">
        <f>VLOOKUP(B18,#REF!,5,FALSE)</f>
        <v>#REF!</v>
      </c>
      <c r="N18" s="1" t="e">
        <f>VLOOKUP(B18,#REF!,6,FALSE)</f>
        <v>#REF!</v>
      </c>
      <c r="O18" s="63" t="e">
        <f>VLOOKUP(B18,#REF!,2,FALSE)</f>
        <v>#REF!</v>
      </c>
      <c r="P18" s="45" t="e">
        <f>VLOOKUP(B18,#REF!,2,FALSE)</f>
        <v>#REF!</v>
      </c>
      <c r="Q18" s="64" t="e">
        <f>VLOOKUP(B18,#REF!,2,FALSE)</f>
        <v>#REF!</v>
      </c>
      <c r="R18" s="43" t="e">
        <f>VLOOKUP(B18,#REF!,3,FALSE)</f>
        <v>#REF!</v>
      </c>
      <c r="S18" s="4" t="e">
        <f>VLOOKUP(B18,#REF!,4,FALSE)</f>
        <v>#REF!</v>
      </c>
      <c r="T18" s="59" t="e">
        <f>VLOOKUP(B18,#REF!,2,FALSE)</f>
        <v>#REF!</v>
      </c>
      <c r="U18" s="2" t="e">
        <f>VLOOKUP(B18,#REF!,2,FALSE)</f>
        <v>#REF!</v>
      </c>
      <c r="V18" s="2">
        <v>17.295008232682999</v>
      </c>
      <c r="W18" s="4">
        <f t="shared" si="0"/>
        <v>5.4670836652333715E-2</v>
      </c>
      <c r="X18" s="66">
        <f t="shared" si="2"/>
        <v>1298979.0788594491</v>
      </c>
      <c r="Y18" s="22"/>
      <c r="Z18" s="22"/>
      <c r="AE18" s="24"/>
      <c r="AF18" s="25"/>
      <c r="AG18" s="25"/>
      <c r="AH18" s="25"/>
      <c r="AI18" s="26"/>
      <c r="AJ18" s="25"/>
      <c r="AK18" s="25"/>
      <c r="AL18" s="25"/>
      <c r="AM18" s="27"/>
      <c r="AN18" s="25"/>
      <c r="AO18" s="28"/>
      <c r="AP18" s="25"/>
      <c r="AX18" s="29"/>
      <c r="AY18" s="29"/>
    </row>
    <row r="19" spans="2:51">
      <c r="B19" s="44" t="s">
        <v>159</v>
      </c>
      <c r="C19" s="1" t="e">
        <f>VLOOKUP(B19,#REF!,2,FALSE)</f>
        <v>#REF!</v>
      </c>
      <c r="D19" s="1" t="e">
        <f>VLOOKUP(B19,#REF!,2,FALSE)</f>
        <v>#REF!</v>
      </c>
      <c r="E19" s="1" t="e">
        <f>VLOOKUP(B19,#REF!,2,FALSE)</f>
        <v>#REF!</v>
      </c>
      <c r="F19" s="60" t="e">
        <f>VLOOKUP(B19,#REF!,2,FALSE)</f>
        <v>#REF!</v>
      </c>
      <c r="G19" s="61" t="e">
        <f>VLOOKUP(B19,#REF!,2,FALSE)</f>
        <v>#REF!</v>
      </c>
      <c r="H19" s="42" t="e">
        <f>VLOOKUP(B19,#REF!,2,FALSE)</f>
        <v>#REF!</v>
      </c>
      <c r="I19" s="43" t="e">
        <f>VLOOKUP(B19,#REF!,2,FALSE)</f>
        <v>#REF!</v>
      </c>
      <c r="J19" s="43" t="e">
        <f>VLOOKUP(B19,#REF!,2,FALSE)</f>
        <v>#REF!</v>
      </c>
      <c r="K19" s="1" t="e">
        <f>VLOOKUP(B19,#REF!,3,FALSE)</f>
        <v>#REF!</v>
      </c>
      <c r="L19" s="1" t="e">
        <f>VLOOKUP(B19,#REF!,4,FALSE)</f>
        <v>#REF!</v>
      </c>
      <c r="M19" s="1" t="e">
        <f>VLOOKUP(B19,#REF!,5,FALSE)</f>
        <v>#REF!</v>
      </c>
      <c r="N19" s="1" t="e">
        <f>VLOOKUP(B19,#REF!,6,FALSE)</f>
        <v>#REF!</v>
      </c>
      <c r="O19" s="63" t="e">
        <f>VLOOKUP(B19,#REF!,2,FALSE)</f>
        <v>#REF!</v>
      </c>
      <c r="P19" s="45" t="e">
        <f>VLOOKUP(B19,#REF!,2,FALSE)</f>
        <v>#REF!</v>
      </c>
      <c r="Q19" s="64" t="e">
        <f>VLOOKUP(B19,#REF!,2,FALSE)</f>
        <v>#REF!</v>
      </c>
      <c r="R19" s="43" t="e">
        <f>VLOOKUP(B19,#REF!,3,FALSE)</f>
        <v>#REF!</v>
      </c>
      <c r="S19" s="4" t="e">
        <f>VLOOKUP(B19,#REF!,4,FALSE)</f>
        <v>#REF!</v>
      </c>
      <c r="T19" s="59" t="e">
        <f>VLOOKUP(B19,#REF!,2,FALSE)</f>
        <v>#REF!</v>
      </c>
      <c r="U19" s="2" t="e">
        <f>VLOOKUP(B19,#REF!,2,FALSE)</f>
        <v>#REF!</v>
      </c>
      <c r="V19" s="2">
        <v>18.295008232682999</v>
      </c>
      <c r="W19" s="4">
        <f t="shared" si="0"/>
        <v>5.7831912722191854E-2</v>
      </c>
      <c r="X19" s="66">
        <f t="shared" si="2"/>
        <v>1374086.2462792785</v>
      </c>
      <c r="Y19" s="22"/>
      <c r="Z19" s="22"/>
      <c r="AE19" s="24"/>
      <c r="AF19" s="25"/>
      <c r="AG19" s="25"/>
      <c r="AH19" s="25"/>
      <c r="AI19" s="26"/>
      <c r="AJ19" s="25"/>
      <c r="AK19" s="25"/>
      <c r="AL19" s="25"/>
      <c r="AM19" s="27"/>
      <c r="AN19" s="25"/>
      <c r="AO19" s="28"/>
      <c r="AP19" s="25"/>
      <c r="AX19" s="29"/>
      <c r="AY19" s="29"/>
    </row>
    <row r="20" spans="2:51">
      <c r="B20" s="44" t="s">
        <v>176</v>
      </c>
      <c r="C20" s="1" t="e">
        <f>VLOOKUP(B20,#REF!,2,FALSE)</f>
        <v>#REF!</v>
      </c>
      <c r="D20" s="1" t="e">
        <f>VLOOKUP(B20,#REF!,2,FALSE)</f>
        <v>#REF!</v>
      </c>
      <c r="E20" s="1" t="e">
        <f>VLOOKUP(B20,#REF!,2,FALSE)</f>
        <v>#REF!</v>
      </c>
      <c r="F20" s="60" t="e">
        <f>VLOOKUP(B20,#REF!,2,FALSE)</f>
        <v>#REF!</v>
      </c>
      <c r="G20" s="61" t="e">
        <f>VLOOKUP(B20,#REF!,2,FALSE)</f>
        <v>#REF!</v>
      </c>
      <c r="H20" s="42" t="e">
        <f>VLOOKUP(B20,#REF!,2,FALSE)</f>
        <v>#REF!</v>
      </c>
      <c r="I20" s="43" t="e">
        <f>VLOOKUP(B20,#REF!,2,FALSE)</f>
        <v>#REF!</v>
      </c>
      <c r="J20" s="43" t="e">
        <f>VLOOKUP(B20,#REF!,2,FALSE)</f>
        <v>#REF!</v>
      </c>
      <c r="K20" s="1" t="e">
        <f>VLOOKUP(B20,#REF!,3,FALSE)</f>
        <v>#REF!</v>
      </c>
      <c r="L20" s="1" t="e">
        <f>VLOOKUP(B20,#REF!,4,FALSE)</f>
        <v>#REF!</v>
      </c>
      <c r="M20" s="1" t="e">
        <f>VLOOKUP(B20,#REF!,5,FALSE)</f>
        <v>#REF!</v>
      </c>
      <c r="N20" s="1" t="e">
        <f>VLOOKUP(B20,#REF!,6,FALSE)</f>
        <v>#REF!</v>
      </c>
      <c r="O20" s="63" t="e">
        <f>VLOOKUP(B20,#REF!,2,FALSE)</f>
        <v>#REF!</v>
      </c>
      <c r="P20" s="45" t="e">
        <f>VLOOKUP(B20,#REF!,2,FALSE)</f>
        <v>#REF!</v>
      </c>
      <c r="Q20" s="64" t="e">
        <f>VLOOKUP(B20,#REF!,2,FALSE)</f>
        <v>#REF!</v>
      </c>
      <c r="R20" s="43" t="e">
        <f>VLOOKUP(B20,#REF!,3,FALSE)</f>
        <v>#REF!</v>
      </c>
      <c r="S20" s="4" t="e">
        <f>VLOOKUP(B20,#REF!,4,FALSE)</f>
        <v>#REF!</v>
      </c>
      <c r="T20" s="59" t="e">
        <f>VLOOKUP(B20,#REF!,2,FALSE)</f>
        <v>#REF!</v>
      </c>
      <c r="U20" s="2" t="e">
        <f>VLOOKUP(B20,#REF!,2,FALSE)</f>
        <v>#REF!</v>
      </c>
      <c r="V20" s="2">
        <v>19.295008232682999</v>
      </c>
      <c r="W20" s="4">
        <f t="shared" si="0"/>
        <v>6.0992988792049993E-2</v>
      </c>
      <c r="X20" s="66">
        <f t="shared" si="2"/>
        <v>1449193.4136991079</v>
      </c>
      <c r="Y20" s="22"/>
      <c r="Z20" s="22"/>
      <c r="AE20" s="24"/>
      <c r="AF20" s="25"/>
      <c r="AG20" s="25"/>
      <c r="AH20" s="25"/>
      <c r="AI20" s="26"/>
      <c r="AJ20" s="25"/>
      <c r="AK20" s="25"/>
      <c r="AL20" s="25"/>
      <c r="AM20" s="27"/>
      <c r="AN20" s="25"/>
      <c r="AO20" s="28"/>
      <c r="AP20" s="25"/>
      <c r="AX20" s="29"/>
      <c r="AY20" s="29"/>
    </row>
    <row r="21" spans="2:51">
      <c r="B21" s="44" t="s">
        <v>119</v>
      </c>
      <c r="C21" s="1" t="e">
        <f>VLOOKUP(B21,#REF!,2,FALSE)</f>
        <v>#REF!</v>
      </c>
      <c r="D21" s="1" t="e">
        <f>VLOOKUP(B21,#REF!,2,FALSE)</f>
        <v>#REF!</v>
      </c>
      <c r="E21" s="1" t="e">
        <f>VLOOKUP(B21,#REF!,2,FALSE)</f>
        <v>#REF!</v>
      </c>
      <c r="F21" s="60" t="e">
        <f>VLOOKUP(B21,#REF!,2,FALSE)</f>
        <v>#REF!</v>
      </c>
      <c r="G21" s="61" t="e">
        <f>VLOOKUP(B21,#REF!,2,FALSE)</f>
        <v>#REF!</v>
      </c>
      <c r="H21" s="42" t="e">
        <f>VLOOKUP(B21,#REF!,2,FALSE)</f>
        <v>#REF!</v>
      </c>
      <c r="I21" s="43" t="e">
        <f>VLOOKUP(B21,#REF!,2,FALSE)</f>
        <v>#REF!</v>
      </c>
      <c r="J21" s="43" t="e">
        <f>VLOOKUP(B21,#REF!,2,FALSE)</f>
        <v>#REF!</v>
      </c>
      <c r="K21" s="1" t="e">
        <f>VLOOKUP(B21,#REF!,3,FALSE)</f>
        <v>#REF!</v>
      </c>
      <c r="L21" s="1" t="e">
        <f>VLOOKUP(B21,#REF!,4,FALSE)</f>
        <v>#REF!</v>
      </c>
      <c r="M21" s="1" t="e">
        <f>VLOOKUP(B21,#REF!,5,FALSE)</f>
        <v>#REF!</v>
      </c>
      <c r="N21" s="1" t="e">
        <f>VLOOKUP(B21,#REF!,6,FALSE)</f>
        <v>#REF!</v>
      </c>
      <c r="O21" s="63" t="e">
        <f>VLOOKUP(B21,#REF!,2,FALSE)</f>
        <v>#REF!</v>
      </c>
      <c r="P21" s="45" t="e">
        <f>VLOOKUP(B21,#REF!,2,FALSE)</f>
        <v>#REF!</v>
      </c>
      <c r="Q21" s="64" t="e">
        <f>VLOOKUP(B21,#REF!,2,FALSE)</f>
        <v>#REF!</v>
      </c>
      <c r="R21" s="43" t="e">
        <f>VLOOKUP(B21,#REF!,3,FALSE)</f>
        <v>#REF!</v>
      </c>
      <c r="S21" s="4" t="e">
        <f>VLOOKUP(B21,#REF!,4,FALSE)</f>
        <v>#REF!</v>
      </c>
      <c r="T21" s="59" t="e">
        <f>VLOOKUP(B21,#REF!,2,FALSE)</f>
        <v>#REF!</v>
      </c>
      <c r="U21" s="2" t="e">
        <f>VLOOKUP(B21,#REF!,2,FALSE)</f>
        <v>#REF!</v>
      </c>
      <c r="V21" s="2">
        <v>20.295008232682999</v>
      </c>
      <c r="W21" s="4">
        <f t="shared" si="0"/>
        <v>6.4154064861908139E-2</v>
      </c>
      <c r="X21" s="66">
        <f t="shared" si="2"/>
        <v>1524300.5811189373</v>
      </c>
      <c r="Y21" s="22"/>
      <c r="Z21" s="22"/>
      <c r="AE21" s="24"/>
      <c r="AF21" s="25"/>
      <c r="AG21" s="25"/>
      <c r="AH21" s="25"/>
      <c r="AI21" s="26"/>
      <c r="AJ21" s="25"/>
      <c r="AK21" s="25"/>
      <c r="AL21" s="25"/>
      <c r="AM21" s="27"/>
      <c r="AN21" s="25"/>
      <c r="AO21" s="28"/>
      <c r="AP21" s="25"/>
      <c r="AX21" s="29"/>
      <c r="AY21" s="29"/>
    </row>
    <row r="22" spans="2:51">
      <c r="B22" s="44" t="s">
        <v>183</v>
      </c>
      <c r="C22" s="1" t="e">
        <f>VLOOKUP(B22,#REF!,2,FALSE)</f>
        <v>#REF!</v>
      </c>
      <c r="D22" s="1" t="e">
        <f>VLOOKUP(B22,#REF!,2,FALSE)</f>
        <v>#REF!</v>
      </c>
      <c r="E22" s="1" t="e">
        <f>VLOOKUP(B22,#REF!,2,FALSE)</f>
        <v>#REF!</v>
      </c>
      <c r="F22" s="60" t="e">
        <f>VLOOKUP(B22,#REF!,2,FALSE)</f>
        <v>#REF!</v>
      </c>
      <c r="G22" s="61" t="e">
        <f>VLOOKUP(B22,#REF!,2,FALSE)</f>
        <v>#REF!</v>
      </c>
      <c r="H22" s="42" t="e">
        <f>VLOOKUP(B22,#REF!,2,FALSE)</f>
        <v>#REF!</v>
      </c>
      <c r="I22" s="43" t="e">
        <f>VLOOKUP(B22,#REF!,2,FALSE)</f>
        <v>#REF!</v>
      </c>
      <c r="J22" s="43" t="e">
        <f>VLOOKUP(B22,#REF!,2,FALSE)</f>
        <v>#REF!</v>
      </c>
      <c r="K22" s="1" t="e">
        <f>VLOOKUP(B22,#REF!,3,FALSE)</f>
        <v>#REF!</v>
      </c>
      <c r="L22" s="1" t="e">
        <f>VLOOKUP(B22,#REF!,4,FALSE)</f>
        <v>#REF!</v>
      </c>
      <c r="M22" s="1" t="e">
        <f>VLOOKUP(B22,#REF!,5,FALSE)</f>
        <v>#REF!</v>
      </c>
      <c r="N22" s="1" t="e">
        <f>VLOOKUP(B22,#REF!,6,FALSE)</f>
        <v>#REF!</v>
      </c>
      <c r="O22" s="63" t="e">
        <f>VLOOKUP(B22,#REF!,2,FALSE)</f>
        <v>#REF!</v>
      </c>
      <c r="P22" s="45" t="e">
        <f>VLOOKUP(B22,#REF!,2,FALSE)</f>
        <v>#REF!</v>
      </c>
      <c r="Q22" s="64" t="e">
        <f>VLOOKUP(B22,#REF!,2,FALSE)</f>
        <v>#REF!</v>
      </c>
      <c r="R22" s="43" t="e">
        <f>VLOOKUP(B22,#REF!,3,FALSE)</f>
        <v>#REF!</v>
      </c>
      <c r="S22" s="4" t="e">
        <f>VLOOKUP(B22,#REF!,4,FALSE)</f>
        <v>#REF!</v>
      </c>
      <c r="T22" s="59" t="e">
        <f>VLOOKUP(B22,#REF!,2,FALSE)</f>
        <v>#REF!</v>
      </c>
      <c r="U22" s="2" t="e">
        <f>VLOOKUP(B22,#REF!,2,FALSE)</f>
        <v>#REF!</v>
      </c>
      <c r="V22" s="2">
        <v>21.295008232682999</v>
      </c>
      <c r="W22" s="4">
        <f t="shared" ref="W22" si="3">V22/SUM($V$4:$V$27)</f>
        <v>6.7315140931766271E-2</v>
      </c>
      <c r="X22" s="66">
        <f t="shared" si="2"/>
        <v>1599407.7485387665</v>
      </c>
      <c r="Y22" s="22"/>
      <c r="Z22" s="22"/>
      <c r="AE22" s="24"/>
      <c r="AF22" s="25"/>
      <c r="AG22" s="25"/>
      <c r="AH22" s="25"/>
      <c r="AI22" s="26"/>
      <c r="AJ22" s="25"/>
      <c r="AK22" s="25"/>
      <c r="AL22" s="25"/>
      <c r="AM22" s="27"/>
      <c r="AN22" s="25"/>
      <c r="AO22" s="28"/>
      <c r="AP22" s="25"/>
      <c r="AX22" s="29"/>
      <c r="AY22" s="29"/>
    </row>
    <row r="23" spans="2:51">
      <c r="B23" s="6" t="s">
        <v>165</v>
      </c>
      <c r="C23" s="1" t="e">
        <f>VLOOKUP(B23,#REF!,2,FALSE)</f>
        <v>#REF!</v>
      </c>
      <c r="D23" s="1" t="e">
        <f>VLOOKUP(B23,#REF!,2,FALSE)</f>
        <v>#REF!</v>
      </c>
      <c r="E23" s="1" t="e">
        <f>VLOOKUP(B23,#REF!,2,FALSE)</f>
        <v>#REF!</v>
      </c>
      <c r="F23" s="60" t="e">
        <f>VLOOKUP(B23,#REF!,2,FALSE)</f>
        <v>#REF!</v>
      </c>
      <c r="G23" s="61" t="e">
        <f>VLOOKUP(B23,#REF!,2,FALSE)</f>
        <v>#REF!</v>
      </c>
      <c r="H23" s="42" t="e">
        <f>VLOOKUP(B23,#REF!,2,FALSE)</f>
        <v>#REF!</v>
      </c>
      <c r="I23" s="43" t="e">
        <f>VLOOKUP(B23,#REF!,2,FALSE)</f>
        <v>#REF!</v>
      </c>
      <c r="J23" s="43" t="e">
        <f>VLOOKUP(B23,#REF!,2,FALSE)</f>
        <v>#REF!</v>
      </c>
      <c r="K23" s="1" t="e">
        <f>VLOOKUP(B23,#REF!,3,FALSE)</f>
        <v>#REF!</v>
      </c>
      <c r="L23" s="1" t="e">
        <f>VLOOKUP(B23,#REF!,4,FALSE)</f>
        <v>#REF!</v>
      </c>
      <c r="M23" s="1" t="e">
        <f>VLOOKUP(B23,#REF!,5,FALSE)</f>
        <v>#REF!</v>
      </c>
      <c r="N23" s="1" t="e">
        <f>VLOOKUP(B23,#REF!,6,FALSE)</f>
        <v>#REF!</v>
      </c>
      <c r="O23" s="63" t="e">
        <f>VLOOKUP(B23,#REF!,2,FALSE)</f>
        <v>#REF!</v>
      </c>
      <c r="P23" s="45" t="e">
        <f>VLOOKUP(B23,#REF!,2,FALSE)</f>
        <v>#REF!</v>
      </c>
      <c r="Q23" s="64" t="e">
        <f>VLOOKUP(B23,#REF!,2,FALSE)</f>
        <v>#REF!</v>
      </c>
      <c r="R23" s="43" t="e">
        <f>VLOOKUP(B23,#REF!,3,FALSE)</f>
        <v>#REF!</v>
      </c>
      <c r="S23" s="4" t="e">
        <f>VLOOKUP(B23,#REF!,4,FALSE)</f>
        <v>#REF!</v>
      </c>
      <c r="T23" s="59" t="e">
        <f>VLOOKUP(B23,#REF!,2,FALSE)</f>
        <v>#REF!</v>
      </c>
      <c r="U23" s="2" t="e">
        <f>VLOOKUP(B23,#REF!,2,FALSE)</f>
        <v>#REF!</v>
      </c>
      <c r="V23" s="2">
        <v>8.2457063046468129</v>
      </c>
      <c r="W23" s="4">
        <f t="shared" ref="W23:W28" si="4">V23/SUM($V$4:$V$27)</f>
        <v>2.6065304878697418E-2</v>
      </c>
      <c r="X23" s="66">
        <f t="shared" si="1"/>
        <v>619311.64391785068</v>
      </c>
      <c r="Y23" s="22"/>
      <c r="Z23" s="22"/>
      <c r="AE23" s="24"/>
      <c r="AF23" s="25"/>
      <c r="AG23" s="25"/>
      <c r="AH23" s="25"/>
      <c r="AI23" s="26"/>
      <c r="AJ23" s="25"/>
      <c r="AK23" s="25"/>
      <c r="AL23" s="25"/>
      <c r="AM23" s="27"/>
      <c r="AN23" s="25"/>
      <c r="AO23" s="28"/>
      <c r="AP23" s="25"/>
      <c r="AX23" s="29"/>
      <c r="AY23" s="29"/>
    </row>
    <row r="24" spans="2:51">
      <c r="B24" s="6" t="s">
        <v>120</v>
      </c>
      <c r="C24" s="1" t="e">
        <f>VLOOKUP(B24,#REF!,2,FALSE)</f>
        <v>#REF!</v>
      </c>
      <c r="D24" s="1" t="e">
        <f>VLOOKUP(B24,#REF!,2,FALSE)</f>
        <v>#REF!</v>
      </c>
      <c r="E24" s="1" t="e">
        <f>VLOOKUP(B24,#REF!,2,FALSE)</f>
        <v>#REF!</v>
      </c>
      <c r="F24" s="60" t="e">
        <f>VLOOKUP(B24,#REF!,2,FALSE)</f>
        <v>#REF!</v>
      </c>
      <c r="G24" s="61" t="e">
        <f>VLOOKUP(B24,#REF!,2,FALSE)</f>
        <v>#REF!</v>
      </c>
      <c r="H24" s="42" t="e">
        <f>VLOOKUP(B24,#REF!,2,FALSE)</f>
        <v>#REF!</v>
      </c>
      <c r="I24" s="43" t="e">
        <f>VLOOKUP(B24,#REF!,2,FALSE)</f>
        <v>#REF!</v>
      </c>
      <c r="J24" s="43" t="e">
        <f>VLOOKUP(B24,#REF!,2,FALSE)</f>
        <v>#REF!</v>
      </c>
      <c r="K24" s="1" t="e">
        <f>VLOOKUP(B24,#REF!,3,FALSE)</f>
        <v>#REF!</v>
      </c>
      <c r="L24" s="1" t="e">
        <f>VLOOKUP(B24,#REF!,4,FALSE)</f>
        <v>#REF!</v>
      </c>
      <c r="M24" s="1" t="e">
        <f>VLOOKUP(B24,#REF!,5,FALSE)</f>
        <v>#REF!</v>
      </c>
      <c r="N24" s="1" t="e">
        <f>VLOOKUP(B24,#REF!,6,FALSE)</f>
        <v>#REF!</v>
      </c>
      <c r="O24" s="63" t="e">
        <f>VLOOKUP(B24,#REF!,2,FALSE)</f>
        <v>#REF!</v>
      </c>
      <c r="P24" s="45" t="e">
        <f>VLOOKUP(B24,#REF!,2,FALSE)</f>
        <v>#REF!</v>
      </c>
      <c r="Q24" s="64" t="e">
        <f>VLOOKUP(B24,#REF!,2,FALSE)</f>
        <v>#REF!</v>
      </c>
      <c r="R24" s="43" t="e">
        <f>VLOOKUP(B24,#REF!,3,FALSE)</f>
        <v>#REF!</v>
      </c>
      <c r="S24" s="4" t="e">
        <f>VLOOKUP(B24,#REF!,4,FALSE)</f>
        <v>#REF!</v>
      </c>
      <c r="T24" s="59" t="e">
        <f>VLOOKUP(B24,#REF!,2,FALSE)</f>
        <v>#REF!</v>
      </c>
      <c r="U24" s="2" t="e">
        <f>VLOOKUP(B24,#REF!,2,FALSE)</f>
        <v>#REF!</v>
      </c>
      <c r="V24" s="2">
        <v>10.562395080934918</v>
      </c>
      <c r="W24" s="4">
        <f t="shared" si="4"/>
        <v>3.3388534330730683E-2</v>
      </c>
      <c r="X24" s="66">
        <f t="shared" si="1"/>
        <v>793311.57569816103</v>
      </c>
      <c r="Y24" s="22"/>
      <c r="Z24" s="22"/>
      <c r="AE24" s="24"/>
      <c r="AF24" s="25"/>
      <c r="AG24" s="25"/>
      <c r="AH24" s="25"/>
      <c r="AI24" s="26"/>
      <c r="AJ24" s="25"/>
      <c r="AK24" s="25"/>
      <c r="AL24" s="25"/>
      <c r="AM24" s="27"/>
      <c r="AN24" s="25"/>
      <c r="AO24" s="28"/>
      <c r="AP24" s="25"/>
      <c r="AX24" s="29"/>
      <c r="AY24" s="29"/>
    </row>
    <row r="25" spans="2:51">
      <c r="B25" s="6" t="s">
        <v>155</v>
      </c>
      <c r="C25" s="1" t="e">
        <f>VLOOKUP(B25,#REF!,2,FALSE)</f>
        <v>#REF!</v>
      </c>
      <c r="D25" s="1" t="e">
        <f>VLOOKUP(B25,#REF!,2,FALSE)</f>
        <v>#REF!</v>
      </c>
      <c r="E25" s="1" t="e">
        <f>VLOOKUP(B25,#REF!,2,FALSE)</f>
        <v>#REF!</v>
      </c>
      <c r="F25" s="60" t="e">
        <f>VLOOKUP(B25,#REF!,2,FALSE)</f>
        <v>#REF!</v>
      </c>
      <c r="G25" s="61" t="e">
        <f>VLOOKUP(B25,#REF!,2,FALSE)</f>
        <v>#REF!</v>
      </c>
      <c r="H25" s="42" t="e">
        <f>VLOOKUP(B25,#REF!,2,FALSE)</f>
        <v>#REF!</v>
      </c>
      <c r="I25" s="43" t="e">
        <f>VLOOKUP(B25,#REF!,2,FALSE)</f>
        <v>#REF!</v>
      </c>
      <c r="J25" s="43" t="e">
        <f>VLOOKUP(B25,#REF!,2,FALSE)</f>
        <v>#REF!</v>
      </c>
      <c r="K25" s="1" t="e">
        <f>VLOOKUP(B25,#REF!,3,FALSE)</f>
        <v>#REF!</v>
      </c>
      <c r="L25" s="1" t="e">
        <f>VLOOKUP(B25,#REF!,4,FALSE)</f>
        <v>#REF!</v>
      </c>
      <c r="M25" s="1" t="e">
        <f>VLOOKUP(B25,#REF!,5,FALSE)</f>
        <v>#REF!</v>
      </c>
      <c r="N25" s="1" t="e">
        <f>VLOOKUP(B25,#REF!,6,FALSE)</f>
        <v>#REF!</v>
      </c>
      <c r="O25" s="63" t="e">
        <f>VLOOKUP(B25,#REF!,2,FALSE)</f>
        <v>#REF!</v>
      </c>
      <c r="P25" s="45" t="e">
        <f>VLOOKUP(B25,#REF!,2,FALSE)</f>
        <v>#REF!</v>
      </c>
      <c r="Q25" s="64" t="e">
        <f>VLOOKUP(B25,#REF!,2,FALSE)</f>
        <v>#REF!</v>
      </c>
      <c r="R25" s="43" t="e">
        <f>VLOOKUP(B25,#REF!,3,FALSE)</f>
        <v>#REF!</v>
      </c>
      <c r="S25" s="4" t="e">
        <f>VLOOKUP(B25,#REF!,4,FALSE)</f>
        <v>#REF!</v>
      </c>
      <c r="T25" s="59" t="e">
        <f>VLOOKUP(B25,#REF!,2,FALSE)</f>
        <v>#REF!</v>
      </c>
      <c r="U25" s="2" t="e">
        <f>VLOOKUP(B25,#REF!,2,FALSE)</f>
        <v>#REF!</v>
      </c>
      <c r="V25" s="2">
        <v>9.7708312769598145</v>
      </c>
      <c r="W25" s="4">
        <f t="shared" si="4"/>
        <v>3.0886340932219102E-2</v>
      </c>
      <c r="X25" s="66">
        <f t="shared" si="1"/>
        <v>733859.46054952592</v>
      </c>
      <c r="Y25" s="22"/>
      <c r="Z25" s="22"/>
      <c r="AE25" s="24"/>
      <c r="AF25" s="25"/>
      <c r="AG25" s="25"/>
      <c r="AH25" s="25"/>
      <c r="AI25" s="26"/>
      <c r="AJ25" s="25"/>
      <c r="AK25" s="25"/>
      <c r="AL25" s="25"/>
      <c r="AM25" s="27"/>
      <c r="AN25" s="25"/>
      <c r="AO25" s="28"/>
      <c r="AP25" s="25"/>
      <c r="AX25" s="29"/>
      <c r="AY25" s="29"/>
    </row>
    <row r="26" spans="2:51">
      <c r="B26" s="6" t="s">
        <v>139</v>
      </c>
      <c r="C26" s="1" t="e">
        <f>VLOOKUP(B26,#REF!,2,FALSE)</f>
        <v>#REF!</v>
      </c>
      <c r="D26" s="1" t="e">
        <f>VLOOKUP(B26,#REF!,2,FALSE)</f>
        <v>#REF!</v>
      </c>
      <c r="E26" s="1" t="e">
        <f>VLOOKUP(B26,#REF!,2,FALSE)</f>
        <v>#REF!</v>
      </c>
      <c r="F26" s="60" t="e">
        <f>VLOOKUP(B26,#REF!,2,FALSE)</f>
        <v>#REF!</v>
      </c>
      <c r="G26" s="61" t="e">
        <f>VLOOKUP(B26,#REF!,2,FALSE)</f>
        <v>#REF!</v>
      </c>
      <c r="H26" s="42" t="e">
        <f>VLOOKUP(B26,#REF!,2,FALSE)</f>
        <v>#REF!</v>
      </c>
      <c r="I26" s="43" t="e">
        <f>VLOOKUP(B26,#REF!,2,FALSE)</f>
        <v>#REF!</v>
      </c>
      <c r="J26" s="43" t="e">
        <f>VLOOKUP(B26,#REF!,2,FALSE)</f>
        <v>#REF!</v>
      </c>
      <c r="K26" s="1" t="e">
        <f>VLOOKUP(B26,#REF!,3,FALSE)</f>
        <v>#REF!</v>
      </c>
      <c r="L26" s="1" t="e">
        <f>VLOOKUP(B26,#REF!,4,FALSE)</f>
        <v>#REF!</v>
      </c>
      <c r="M26" s="1" t="e">
        <f>VLOOKUP(B26,#REF!,5,FALSE)</f>
        <v>#REF!</v>
      </c>
      <c r="N26" s="1" t="e">
        <f>VLOOKUP(B26,#REF!,6,FALSE)</f>
        <v>#REF!</v>
      </c>
      <c r="O26" s="63" t="e">
        <f>VLOOKUP(B26,#REF!,2,FALSE)</f>
        <v>#REF!</v>
      </c>
      <c r="P26" s="45" t="e">
        <f>VLOOKUP(B26,#REF!,2,FALSE)</f>
        <v>#REF!</v>
      </c>
      <c r="Q26" s="64" t="e">
        <f>VLOOKUP(B26,#REF!,2,FALSE)</f>
        <v>#REF!</v>
      </c>
      <c r="R26" s="43" t="e">
        <f>VLOOKUP(B26,#REF!,3,FALSE)</f>
        <v>#REF!</v>
      </c>
      <c r="S26" s="4" t="e">
        <f>VLOOKUP(B26,#REF!,4,FALSE)</f>
        <v>#REF!</v>
      </c>
      <c r="T26" s="59" t="e">
        <f>VLOOKUP(B26,#REF!,2,FALSE)</f>
        <v>#REF!</v>
      </c>
      <c r="U26" s="2" t="e">
        <f>VLOOKUP(B26,#REF!,2,FALSE)</f>
        <v>#REF!</v>
      </c>
      <c r="V26" s="2">
        <v>10.465585386597253</v>
      </c>
      <c r="W26" s="4">
        <f t="shared" si="4"/>
        <v>3.3082511522629608E-2</v>
      </c>
      <c r="X26" s="66">
        <f t="shared" si="1"/>
        <v>786040.47377767949</v>
      </c>
      <c r="Y26" s="22"/>
      <c r="Z26" s="22"/>
      <c r="AE26" s="24"/>
      <c r="AF26" s="25"/>
      <c r="AG26" s="25"/>
      <c r="AH26" s="25"/>
      <c r="AI26" s="26"/>
      <c r="AJ26" s="25"/>
      <c r="AK26" s="25"/>
      <c r="AL26" s="25"/>
      <c r="AM26" s="27"/>
      <c r="AN26" s="25"/>
      <c r="AO26" s="28"/>
      <c r="AP26" s="25"/>
      <c r="AX26" s="29"/>
      <c r="AY26" s="29"/>
    </row>
    <row r="27" spans="2:51">
      <c r="B27" s="6" t="s">
        <v>146</v>
      </c>
      <c r="C27" s="1" t="e">
        <f>VLOOKUP(B27,#REF!,2,FALSE)</f>
        <v>#REF!</v>
      </c>
      <c r="D27" s="1" t="e">
        <f>VLOOKUP(B27,#REF!,2,FALSE)</f>
        <v>#REF!</v>
      </c>
      <c r="E27" s="1" t="e">
        <f>VLOOKUP(B27,#REF!,2,FALSE)</f>
        <v>#REF!</v>
      </c>
      <c r="F27" s="60" t="e">
        <f>VLOOKUP(B27,#REF!,2,FALSE)</f>
        <v>#REF!</v>
      </c>
      <c r="G27" s="61" t="e">
        <f>VLOOKUP(B27,#REF!,2,FALSE)</f>
        <v>#REF!</v>
      </c>
      <c r="H27" s="42" t="e">
        <f>VLOOKUP(B27,#REF!,2,FALSE)</f>
        <v>#REF!</v>
      </c>
      <c r="I27" s="43" t="e">
        <f>VLOOKUP(B27,#REF!,2,FALSE)</f>
        <v>#REF!</v>
      </c>
      <c r="J27" s="43" t="e">
        <f>VLOOKUP(B27,#REF!,2,FALSE)</f>
        <v>#REF!</v>
      </c>
      <c r="K27" s="1" t="e">
        <f>VLOOKUP(B27,#REF!,3,FALSE)</f>
        <v>#REF!</v>
      </c>
      <c r="L27" s="1" t="e">
        <f>VLOOKUP(B27,#REF!,4,FALSE)</f>
        <v>#REF!</v>
      </c>
      <c r="M27" s="1" t="e">
        <f>VLOOKUP(B27,#REF!,5,FALSE)</f>
        <v>#REF!</v>
      </c>
      <c r="N27" s="1" t="e">
        <f>VLOOKUP(B27,#REF!,6,FALSE)</f>
        <v>#REF!</v>
      </c>
      <c r="O27" s="63" t="e">
        <f>VLOOKUP(B27,#REF!,2,FALSE)</f>
        <v>#REF!</v>
      </c>
      <c r="P27" s="45" t="e">
        <f>VLOOKUP(B27,#REF!,2,FALSE)</f>
        <v>#REF!</v>
      </c>
      <c r="Q27" s="64" t="e">
        <f>VLOOKUP(B27,#REF!,2,FALSE)</f>
        <v>#REF!</v>
      </c>
      <c r="R27" s="43" t="e">
        <f>VLOOKUP(B27,#REF!,3,FALSE)</f>
        <v>#REF!</v>
      </c>
      <c r="S27" s="4" t="e">
        <f>VLOOKUP(B27,#REF!,4,FALSE)</f>
        <v>#REF!</v>
      </c>
      <c r="T27" s="59" t="e">
        <f>VLOOKUP(B27,#REF!,2,FALSE)</f>
        <v>#REF!</v>
      </c>
      <c r="U27" s="2" t="e">
        <f>VLOOKUP(B27,#REF!,2,FALSE)</f>
        <v>#REF!</v>
      </c>
      <c r="V27" s="2">
        <v>8.1481187355667597</v>
      </c>
      <c r="W27" s="4">
        <f t="shared" si="4"/>
        <v>2.5756823149362836E-2</v>
      </c>
      <c r="X27" s="66">
        <f t="shared" si="1"/>
        <v>611982.118028861</v>
      </c>
      <c r="Y27" s="22"/>
      <c r="Z27" s="22"/>
      <c r="AE27" s="24"/>
      <c r="AF27" s="25"/>
      <c r="AG27" s="25"/>
      <c r="AH27" s="25"/>
      <c r="AI27" s="26"/>
      <c r="AJ27" s="25"/>
      <c r="AK27" s="25"/>
      <c r="AL27" s="25"/>
      <c r="AM27" s="27"/>
      <c r="AN27" s="25"/>
      <c r="AO27" s="28"/>
      <c r="AP27" s="25"/>
      <c r="AX27" s="29"/>
      <c r="AY27" s="29"/>
    </row>
    <row r="28" spans="2:51">
      <c r="B28" s="6" t="s">
        <v>61</v>
      </c>
      <c r="C28" s="1" t="e">
        <f>VLOOKUP(B28,#REF!,2,FALSE)</f>
        <v>#REF!</v>
      </c>
      <c r="D28" s="1" t="e">
        <f>VLOOKUP(B28,#REF!,2,FALSE)</f>
        <v>#REF!</v>
      </c>
      <c r="E28" s="1" t="e">
        <f>VLOOKUP(B28,#REF!,2,FALSE)</f>
        <v>#REF!</v>
      </c>
      <c r="F28" s="60" t="e">
        <f>VLOOKUP(B28,#REF!,2,FALSE)</f>
        <v>#REF!</v>
      </c>
      <c r="G28" s="61" t="e">
        <f>VLOOKUP(B28,#REF!,2,FALSE)</f>
        <v>#REF!</v>
      </c>
      <c r="H28" s="42" t="e">
        <f>VLOOKUP(B28,#REF!,2,FALSE)</f>
        <v>#REF!</v>
      </c>
      <c r="I28" s="43" t="e">
        <f>VLOOKUP(B28,#REF!,2,FALSE)</f>
        <v>#REF!</v>
      </c>
      <c r="J28" s="43" t="e">
        <f>VLOOKUP(B28,#REF!,2,FALSE)</f>
        <v>#REF!</v>
      </c>
      <c r="K28" s="1" t="e">
        <f>VLOOKUP(B28,#REF!,3,FALSE)</f>
        <v>#REF!</v>
      </c>
      <c r="L28" s="1" t="e">
        <f>VLOOKUP(B28,#REF!,4,FALSE)</f>
        <v>#REF!</v>
      </c>
      <c r="M28" s="1" t="e">
        <f>VLOOKUP(B28,#REF!,5,FALSE)</f>
        <v>#REF!</v>
      </c>
      <c r="N28" s="1" t="e">
        <f>VLOOKUP(B28,#REF!,6,FALSE)</f>
        <v>#REF!</v>
      </c>
      <c r="O28" s="63" t="e">
        <f>VLOOKUP(B28,#REF!,2,FALSE)</f>
        <v>#REF!</v>
      </c>
      <c r="P28" s="45" t="e">
        <f>VLOOKUP(B28,#REF!,2,FALSE)</f>
        <v>#REF!</v>
      </c>
      <c r="Q28" s="64" t="e">
        <f>VLOOKUP(B28,#REF!,2,FALSE)</f>
        <v>#REF!</v>
      </c>
      <c r="R28" s="43" t="e">
        <f>VLOOKUP(B28,#REF!,3,FALSE)</f>
        <v>#REF!</v>
      </c>
      <c r="S28" s="4" t="e">
        <f>VLOOKUP(B28,#REF!,4,FALSE)</f>
        <v>#REF!</v>
      </c>
      <c r="T28" s="59" t="e">
        <f>VLOOKUP(B28,#REF!,2,FALSE)</f>
        <v>#REF!</v>
      </c>
      <c r="U28" s="2" t="e">
        <f>VLOOKUP(B28,#REF!,2,FALSE)</f>
        <v>#REF!</v>
      </c>
      <c r="V28" s="2">
        <v>9.1481187355667597</v>
      </c>
      <c r="W28" s="4">
        <f t="shared" si="4"/>
        <v>2.8917899219220972E-2</v>
      </c>
      <c r="X28" s="66">
        <f t="shared" ref="X28" si="5">W28*$X$1</f>
        <v>687089.28544869029</v>
      </c>
      <c r="AI28" s="26"/>
      <c r="AK28" s="25"/>
      <c r="AM28" s="27"/>
    </row>
    <row r="29" spans="2:51">
      <c r="B29" t="s">
        <v>209</v>
      </c>
      <c r="C29" s="1" t="e">
        <f>AVERAGE(C3:C27)</f>
        <v>#REF!</v>
      </c>
      <c r="D29" s="1" t="e">
        <f>AVERAGE(D3:D27)</f>
        <v>#REF!</v>
      </c>
      <c r="E29" s="1" t="e">
        <f>AVERAGE(E3:E27)</f>
        <v>#REF!</v>
      </c>
      <c r="F29" s="1" t="e">
        <f>AVERAGE(F3:F27)</f>
        <v>#REF!</v>
      </c>
      <c r="G29" s="1" t="e">
        <f>AVERAGE(G3:G27)</f>
        <v>#REF!</v>
      </c>
      <c r="H29" s="45" t="e">
        <f t="shared" ref="H29:N29" si="6">AVERAGE(H4:H27)</f>
        <v>#REF!</v>
      </c>
      <c r="I29" s="43" t="e">
        <f t="shared" si="6"/>
        <v>#REF!</v>
      </c>
      <c r="J29" s="43" t="e">
        <f t="shared" si="6"/>
        <v>#REF!</v>
      </c>
      <c r="K29" s="1" t="e">
        <f t="shared" si="6"/>
        <v>#REF!</v>
      </c>
      <c r="L29" s="1" t="e">
        <f t="shared" si="6"/>
        <v>#REF!</v>
      </c>
      <c r="M29" s="1" t="e">
        <f t="shared" si="6"/>
        <v>#REF!</v>
      </c>
      <c r="N29" s="1" t="e">
        <f t="shared" si="6"/>
        <v>#REF!</v>
      </c>
      <c r="O29" s="43" t="e">
        <f>AVERAGE(O3:O27)</f>
        <v>#REF!</v>
      </c>
      <c r="P29" s="43" t="e">
        <f>AVERAGE(P3:P27)</f>
        <v>#REF!</v>
      </c>
      <c r="Q29" s="43" t="e">
        <f>AVERAGE(Q3:Q27)</f>
        <v>#REF!</v>
      </c>
      <c r="R29" s="43" t="e">
        <f>AVERAGE(R3:R27)</f>
        <v>#REF!</v>
      </c>
      <c r="S29" s="30" t="e">
        <f>AVERAGE(S4:S27)</f>
        <v>#REF!</v>
      </c>
      <c r="T29" s="1" t="e">
        <f>AVERAGE(T3:T27)</f>
        <v>#REF!</v>
      </c>
      <c r="U29" s="2" t="e">
        <f>AVERAGE(U4:U27)</f>
        <v>#REF!</v>
      </c>
      <c r="V29" s="2">
        <f>AVERAGE(V4:V24)</f>
        <v>13.712544539222284</v>
      </c>
      <c r="AA29" s="1">
        <v>29410000</v>
      </c>
      <c r="AE29" s="25"/>
      <c r="AF29" s="25"/>
      <c r="AG29" s="25"/>
      <c r="AH29" s="25"/>
      <c r="AI29" s="26"/>
      <c r="AJ29" s="25"/>
      <c r="AK29" s="25"/>
      <c r="AL29" s="25"/>
      <c r="AM29" s="27"/>
      <c r="AY29" s="31"/>
    </row>
    <row r="30" spans="2:51">
      <c r="B30" t="s">
        <v>210</v>
      </c>
      <c r="C30" s="1" t="e">
        <f>STDEV(C3:C27)</f>
        <v>#REF!</v>
      </c>
      <c r="D30" s="1" t="e">
        <f>STDEV(D3:D27)</f>
        <v>#REF!</v>
      </c>
      <c r="E30" s="1" t="e">
        <f>STDEV(E3:E27)</f>
        <v>#REF!</v>
      </c>
      <c r="F30" s="1" t="e">
        <f>STDEV(F3:F27)</f>
        <v>#REF!</v>
      </c>
      <c r="G30" s="1" t="e">
        <f>STDEV(G3:G27)</f>
        <v>#REF!</v>
      </c>
      <c r="H30" s="45" t="e">
        <f t="shared" ref="H30:N30" si="7">STDEV(H4:H27)</f>
        <v>#REF!</v>
      </c>
      <c r="I30" s="43" t="e">
        <f t="shared" si="7"/>
        <v>#REF!</v>
      </c>
      <c r="J30" s="43" t="e">
        <f t="shared" si="7"/>
        <v>#REF!</v>
      </c>
      <c r="K30" s="1" t="e">
        <f t="shared" si="7"/>
        <v>#REF!</v>
      </c>
      <c r="L30" s="1" t="e">
        <f t="shared" si="7"/>
        <v>#REF!</v>
      </c>
      <c r="M30" s="1" t="e">
        <f t="shared" si="7"/>
        <v>#REF!</v>
      </c>
      <c r="N30" s="1" t="e">
        <f t="shared" si="7"/>
        <v>#REF!</v>
      </c>
      <c r="O30" s="43" t="e">
        <f>STDEV(O3:O27)</f>
        <v>#REF!</v>
      </c>
      <c r="P30" s="43" t="e">
        <f>STDEV(P3:P27)</f>
        <v>#REF!</v>
      </c>
      <c r="Q30" s="43" t="e">
        <f>STDEV(Q3:Q27)</f>
        <v>#REF!</v>
      </c>
      <c r="R30" s="43" t="e">
        <f>STDEV(R3:R27)</f>
        <v>#REF!</v>
      </c>
      <c r="S30" s="30" t="e">
        <f>STDEV(S4:S27)</f>
        <v>#REF!</v>
      </c>
      <c r="T30" s="1" t="e">
        <f>STDEV(T3:T27)</f>
        <v>#REF!</v>
      </c>
      <c r="U30" s="1" t="e">
        <f>STDEV(U4:U27)</f>
        <v>#REF!</v>
      </c>
      <c r="V30" s="2"/>
      <c r="AA30" s="1">
        <v>2300000</v>
      </c>
      <c r="AY30" s="32"/>
    </row>
    <row r="31" spans="2:51">
      <c r="B31" s="3" t="s">
        <v>228</v>
      </c>
      <c r="C31" s="1">
        <v>1</v>
      </c>
      <c r="D31" s="1" t="e">
        <f>VLOOKUP(B31,#REF!,2,FALSE)</f>
        <v>#REF!</v>
      </c>
      <c r="E31" s="40">
        <v>1.5</v>
      </c>
      <c r="F31" s="46">
        <v>1</v>
      </c>
      <c r="G31" s="61" t="e">
        <f>VLOOKUP(B31,#REF!,2,FALSE)</f>
        <v>#REF!</v>
      </c>
      <c r="H31" s="46">
        <v>1</v>
      </c>
      <c r="I31" s="46">
        <v>1</v>
      </c>
      <c r="J31" s="46">
        <v>1</v>
      </c>
      <c r="K31" s="40">
        <v>0.1</v>
      </c>
      <c r="L31" s="40">
        <v>0.1</v>
      </c>
      <c r="M31" s="40">
        <v>0.1</v>
      </c>
      <c r="N31" s="40">
        <v>0.1</v>
      </c>
      <c r="O31" s="46">
        <v>1</v>
      </c>
      <c r="P31" s="46">
        <v>1</v>
      </c>
      <c r="Q31" s="46">
        <v>1</v>
      </c>
      <c r="R31" s="46">
        <v>1</v>
      </c>
      <c r="S31" s="33">
        <v>1</v>
      </c>
      <c r="T31" s="33">
        <v>1.25</v>
      </c>
      <c r="U31" s="33">
        <v>1</v>
      </c>
      <c r="V31" s="2"/>
      <c r="AA31" s="1">
        <v>3350000</v>
      </c>
    </row>
    <row r="32" spans="2:51">
      <c r="B32" s="34"/>
      <c r="C32" s="33"/>
      <c r="D32" s="1" t="e">
        <f>VLOOKUP(B32,#REF!,2,FALSE)</f>
        <v>#REF!</v>
      </c>
      <c r="E32" s="33" t="s">
        <v>229</v>
      </c>
      <c r="F32" s="46"/>
      <c r="G32" s="46"/>
      <c r="H32" s="46"/>
      <c r="I32" s="46"/>
      <c r="J32" s="46"/>
      <c r="K32" s="33"/>
      <c r="L32" s="33"/>
      <c r="M32" s="33"/>
      <c r="N32" s="33"/>
      <c r="O32" s="46"/>
      <c r="P32" s="46"/>
      <c r="Q32" s="46"/>
      <c r="R32" s="46"/>
      <c r="S32" s="33"/>
      <c r="T32" s="33"/>
      <c r="U32" s="33"/>
      <c r="V32" s="2"/>
      <c r="AA32" s="39">
        <f>AA29-AA30-AA31</f>
        <v>23760000</v>
      </c>
    </row>
    <row r="33" spans="2:38">
      <c r="B33" s="35"/>
      <c r="C33" s="2" t="s">
        <v>230</v>
      </c>
      <c r="D33" s="1" t="e">
        <f>VLOOKUP(B33,#REF!,2,FALSE)</f>
        <v>#REF!</v>
      </c>
      <c r="E33" s="2">
        <v>2</v>
      </c>
      <c r="F33" s="45"/>
      <c r="G33" s="45"/>
      <c r="H33" s="45"/>
      <c r="I33" s="45"/>
      <c r="J33" s="45"/>
      <c r="K33" s="141"/>
      <c r="L33" s="2"/>
      <c r="M33" s="2"/>
      <c r="N33" s="2"/>
      <c r="O33" s="45"/>
      <c r="P33" s="45"/>
      <c r="Q33" s="45"/>
      <c r="R33" s="45"/>
      <c r="S33" s="2"/>
      <c r="T33" s="2" t="s">
        <v>231</v>
      </c>
      <c r="U33" s="2"/>
      <c r="V33" s="2"/>
      <c r="AJ33" s="25"/>
      <c r="AK33" s="25"/>
      <c r="AL33" s="36"/>
    </row>
    <row r="34" spans="2:38">
      <c r="C34" s="2" t="s">
        <v>232</v>
      </c>
      <c r="D34" s="1" t="e">
        <f>VLOOKUP(B34,#REF!,2,FALSE)</f>
        <v>#REF!</v>
      </c>
      <c r="E34" s="2"/>
      <c r="F34" s="45"/>
      <c r="G34" s="45"/>
      <c r="H34" s="45"/>
      <c r="I34" s="45"/>
      <c r="J34" s="45"/>
      <c r="K34" s="2"/>
      <c r="L34" s="2"/>
      <c r="M34" s="2"/>
      <c r="N34" s="2"/>
      <c r="O34" s="45"/>
      <c r="P34" s="45"/>
      <c r="Q34" s="45"/>
      <c r="R34" s="45"/>
      <c r="S34" s="2"/>
      <c r="T34" s="2"/>
      <c r="U34" s="2"/>
      <c r="V34" s="2"/>
      <c r="AJ34" s="25"/>
      <c r="AK34" s="25"/>
      <c r="AL34" s="37"/>
    </row>
    <row r="35" spans="2:38"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5"/>
      <c r="V35" s="38"/>
      <c r="Z35" s="1"/>
      <c r="AA35" s="1"/>
    </row>
    <row r="36" spans="2:38" ht="66.5" customHeight="1">
      <c r="B36" s="17" t="s">
        <v>202</v>
      </c>
      <c r="C36" s="18" t="e">
        <f t="shared" ref="C36:U36" si="8">C2</f>
        <v>#REF!</v>
      </c>
      <c r="D36" s="18" t="e">
        <f t="shared" si="8"/>
        <v>#REF!</v>
      </c>
      <c r="E36" s="18" t="e">
        <f t="shared" si="8"/>
        <v>#REF!</v>
      </c>
      <c r="F36" s="41" t="e">
        <f t="shared" si="8"/>
        <v>#REF!</v>
      </c>
      <c r="G36" s="41" t="e">
        <f t="shared" si="8"/>
        <v>#REF!</v>
      </c>
      <c r="H36" s="41" t="e">
        <f t="shared" si="8"/>
        <v>#REF!</v>
      </c>
      <c r="I36" s="41" t="e">
        <f t="shared" si="8"/>
        <v>#REF!</v>
      </c>
      <c r="J36" s="41" t="e">
        <f t="shared" si="8"/>
        <v>#REF!</v>
      </c>
      <c r="K36" s="18" t="e">
        <f t="shared" si="8"/>
        <v>#REF!</v>
      </c>
      <c r="L36" s="18" t="e">
        <f t="shared" si="8"/>
        <v>#REF!</v>
      </c>
      <c r="M36" s="18" t="e">
        <f t="shared" si="8"/>
        <v>#REF!</v>
      </c>
      <c r="N36" s="18" t="e">
        <f t="shared" si="8"/>
        <v>#REF!</v>
      </c>
      <c r="O36" s="41" t="e">
        <f t="shared" si="8"/>
        <v>#REF!</v>
      </c>
      <c r="P36" s="41" t="e">
        <f t="shared" si="8"/>
        <v>#REF!</v>
      </c>
      <c r="Q36" s="41" t="e">
        <f t="shared" si="8"/>
        <v>#REF!</v>
      </c>
      <c r="R36" s="41" t="e">
        <f t="shared" si="8"/>
        <v>#REF!</v>
      </c>
      <c r="S36" s="18" t="e">
        <f t="shared" si="8"/>
        <v>#REF!</v>
      </c>
      <c r="T36" s="18" t="e">
        <f t="shared" si="8"/>
        <v>#REF!</v>
      </c>
      <c r="U36" s="18" t="e">
        <f t="shared" si="8"/>
        <v>#REF!</v>
      </c>
      <c r="V36" s="18" t="s">
        <v>204</v>
      </c>
      <c r="W36" s="18"/>
      <c r="X36" s="18"/>
      <c r="Y36" s="18"/>
    </row>
    <row r="37" spans="2:38">
      <c r="B37" t="str">
        <f t="shared" ref="B37:B43" si="9">B4</f>
        <v>USA</v>
      </c>
      <c r="C37" s="2" t="e">
        <f t="shared" ref="C37:U37" si="10">_xlfn.NORM.DIST(C4,C$29,C$30,TRUE)</f>
        <v>#REF!</v>
      </c>
      <c r="D37" s="2" t="e">
        <f t="shared" si="10"/>
        <v>#REF!</v>
      </c>
      <c r="E37" s="2" t="e">
        <f t="shared" si="10"/>
        <v>#REF!</v>
      </c>
      <c r="F37" s="45" t="e">
        <f t="shared" si="10"/>
        <v>#REF!</v>
      </c>
      <c r="G37" s="45" t="e">
        <f t="shared" si="10"/>
        <v>#REF!</v>
      </c>
      <c r="H37" s="45" t="e">
        <f t="shared" si="10"/>
        <v>#REF!</v>
      </c>
      <c r="I37" s="45" t="e">
        <f t="shared" si="10"/>
        <v>#REF!</v>
      </c>
      <c r="J37" s="45" t="e">
        <f t="shared" si="10"/>
        <v>#REF!</v>
      </c>
      <c r="K37" s="2" t="e">
        <f t="shared" si="10"/>
        <v>#REF!</v>
      </c>
      <c r="L37" s="2" t="e">
        <f t="shared" si="10"/>
        <v>#REF!</v>
      </c>
      <c r="M37" s="2" t="e">
        <f t="shared" si="10"/>
        <v>#REF!</v>
      </c>
      <c r="N37" s="2" t="e">
        <f t="shared" si="10"/>
        <v>#REF!</v>
      </c>
      <c r="O37" s="45" t="e">
        <f t="shared" si="10"/>
        <v>#REF!</v>
      </c>
      <c r="P37" s="45" t="e">
        <f t="shared" si="10"/>
        <v>#REF!</v>
      </c>
      <c r="Q37" s="45" t="e">
        <f t="shared" si="10"/>
        <v>#REF!</v>
      </c>
      <c r="R37" s="45" t="e">
        <f t="shared" si="10"/>
        <v>#REF!</v>
      </c>
      <c r="S37" s="2" t="e">
        <f t="shared" si="10"/>
        <v>#REF!</v>
      </c>
      <c r="T37" s="2" t="e">
        <f t="shared" si="10"/>
        <v>#REF!</v>
      </c>
      <c r="U37" s="2" t="e">
        <f t="shared" si="10"/>
        <v>#REF!</v>
      </c>
      <c r="V37" s="2" t="e">
        <f>SUMPRODUCT($C$31:$U$31,C37:U37)</f>
        <v>#REF!</v>
      </c>
      <c r="W37" s="30"/>
      <c r="X37" s="30"/>
      <c r="Y37" s="30"/>
    </row>
    <row r="38" spans="2:38">
      <c r="B38" t="str">
        <f t="shared" si="9"/>
        <v>UK</v>
      </c>
      <c r="C38" s="2" t="e">
        <f t="shared" ref="C38:U38" si="11">_xlfn.NORM.DIST(C5,C$29,C$30,TRUE)</f>
        <v>#REF!</v>
      </c>
      <c r="D38" s="2" t="e">
        <f t="shared" si="11"/>
        <v>#REF!</v>
      </c>
      <c r="E38" s="2" t="e">
        <f t="shared" si="11"/>
        <v>#REF!</v>
      </c>
      <c r="F38" s="45" t="e">
        <f t="shared" si="11"/>
        <v>#REF!</v>
      </c>
      <c r="G38" s="45" t="e">
        <f t="shared" si="11"/>
        <v>#REF!</v>
      </c>
      <c r="H38" s="45" t="e">
        <f t="shared" si="11"/>
        <v>#REF!</v>
      </c>
      <c r="I38" s="45" t="e">
        <f t="shared" si="11"/>
        <v>#REF!</v>
      </c>
      <c r="J38" s="45" t="e">
        <f t="shared" si="11"/>
        <v>#REF!</v>
      </c>
      <c r="K38" s="2" t="e">
        <f t="shared" si="11"/>
        <v>#REF!</v>
      </c>
      <c r="L38" s="2" t="e">
        <f t="shared" si="11"/>
        <v>#REF!</v>
      </c>
      <c r="M38" s="2" t="e">
        <f t="shared" si="11"/>
        <v>#REF!</v>
      </c>
      <c r="N38" s="2" t="e">
        <f t="shared" si="11"/>
        <v>#REF!</v>
      </c>
      <c r="O38" s="45" t="e">
        <f t="shared" si="11"/>
        <v>#REF!</v>
      </c>
      <c r="P38" s="45" t="e">
        <f t="shared" si="11"/>
        <v>#REF!</v>
      </c>
      <c r="Q38" s="45" t="e">
        <f t="shared" si="11"/>
        <v>#REF!</v>
      </c>
      <c r="R38" s="45" t="e">
        <f t="shared" si="11"/>
        <v>#REF!</v>
      </c>
      <c r="S38" s="2" t="e">
        <f t="shared" si="11"/>
        <v>#REF!</v>
      </c>
      <c r="T38" s="2" t="e">
        <f t="shared" si="11"/>
        <v>#REF!</v>
      </c>
      <c r="U38" s="2" t="e">
        <f t="shared" si="11"/>
        <v>#REF!</v>
      </c>
      <c r="V38" s="2" t="e">
        <f t="shared" ref="V38:V48" si="12">SUMPRODUCT($C$31:$U$31,C38:U38)</f>
        <v>#REF!</v>
      </c>
      <c r="W38" s="30"/>
      <c r="X38" s="30"/>
      <c r="Y38" s="30"/>
    </row>
    <row r="39" spans="2:38">
      <c r="B39" t="str">
        <f t="shared" si="9"/>
        <v>Germany</v>
      </c>
      <c r="C39" s="2" t="e">
        <f t="shared" ref="C39:U39" si="13">_xlfn.NORM.DIST(C6,C$29,C$30,TRUE)</f>
        <v>#REF!</v>
      </c>
      <c r="D39" s="2" t="e">
        <f t="shared" si="13"/>
        <v>#REF!</v>
      </c>
      <c r="E39" s="2" t="e">
        <f t="shared" si="13"/>
        <v>#REF!</v>
      </c>
      <c r="F39" s="45" t="e">
        <f t="shared" si="13"/>
        <v>#REF!</v>
      </c>
      <c r="G39" s="45" t="e">
        <f t="shared" si="13"/>
        <v>#REF!</v>
      </c>
      <c r="H39" s="45" t="e">
        <f t="shared" si="13"/>
        <v>#REF!</v>
      </c>
      <c r="I39" s="45" t="e">
        <f t="shared" si="13"/>
        <v>#REF!</v>
      </c>
      <c r="J39" s="45" t="e">
        <f t="shared" si="13"/>
        <v>#REF!</v>
      </c>
      <c r="K39" s="2" t="e">
        <f t="shared" si="13"/>
        <v>#REF!</v>
      </c>
      <c r="L39" s="2" t="e">
        <f t="shared" si="13"/>
        <v>#REF!</v>
      </c>
      <c r="M39" s="2" t="e">
        <f t="shared" si="13"/>
        <v>#REF!</v>
      </c>
      <c r="N39" s="2" t="e">
        <f t="shared" si="13"/>
        <v>#REF!</v>
      </c>
      <c r="O39" s="45" t="e">
        <f t="shared" si="13"/>
        <v>#REF!</v>
      </c>
      <c r="P39" s="45" t="e">
        <f t="shared" si="13"/>
        <v>#REF!</v>
      </c>
      <c r="Q39" s="45" t="e">
        <f t="shared" si="13"/>
        <v>#REF!</v>
      </c>
      <c r="R39" s="45" t="e">
        <f t="shared" si="13"/>
        <v>#REF!</v>
      </c>
      <c r="S39" s="2" t="e">
        <f t="shared" si="13"/>
        <v>#REF!</v>
      </c>
      <c r="T39" s="2" t="e">
        <f t="shared" si="13"/>
        <v>#REF!</v>
      </c>
      <c r="U39" s="2" t="e">
        <f t="shared" si="13"/>
        <v>#REF!</v>
      </c>
      <c r="V39" s="2" t="e">
        <f t="shared" si="12"/>
        <v>#REF!</v>
      </c>
      <c r="W39" s="30"/>
      <c r="X39" s="30"/>
      <c r="Y39" s="30"/>
    </row>
    <row r="40" spans="2:38">
      <c r="B40" t="str">
        <f t="shared" si="9"/>
        <v>France</v>
      </c>
      <c r="C40" s="2" t="e">
        <f t="shared" ref="C40:U40" si="14">_xlfn.NORM.DIST(C7,C$29,C$30,TRUE)</f>
        <v>#REF!</v>
      </c>
      <c r="D40" s="2" t="e">
        <f t="shared" si="14"/>
        <v>#REF!</v>
      </c>
      <c r="E40" s="2" t="e">
        <f t="shared" si="14"/>
        <v>#REF!</v>
      </c>
      <c r="F40" s="45" t="e">
        <f t="shared" si="14"/>
        <v>#REF!</v>
      </c>
      <c r="G40" s="45" t="e">
        <f t="shared" si="14"/>
        <v>#REF!</v>
      </c>
      <c r="H40" s="45" t="e">
        <f t="shared" si="14"/>
        <v>#REF!</v>
      </c>
      <c r="I40" s="45" t="e">
        <f t="shared" si="14"/>
        <v>#REF!</v>
      </c>
      <c r="J40" s="45" t="e">
        <f t="shared" si="14"/>
        <v>#REF!</v>
      </c>
      <c r="K40" s="2" t="e">
        <f t="shared" si="14"/>
        <v>#REF!</v>
      </c>
      <c r="L40" s="2" t="e">
        <f t="shared" si="14"/>
        <v>#REF!</v>
      </c>
      <c r="M40" s="2" t="e">
        <f t="shared" si="14"/>
        <v>#REF!</v>
      </c>
      <c r="N40" s="2" t="e">
        <f t="shared" si="14"/>
        <v>#REF!</v>
      </c>
      <c r="O40" s="45" t="e">
        <f t="shared" si="14"/>
        <v>#REF!</v>
      </c>
      <c r="P40" s="45" t="e">
        <f t="shared" si="14"/>
        <v>#REF!</v>
      </c>
      <c r="Q40" s="45" t="e">
        <f t="shared" si="14"/>
        <v>#REF!</v>
      </c>
      <c r="R40" s="45" t="e">
        <f t="shared" si="14"/>
        <v>#REF!</v>
      </c>
      <c r="S40" s="2" t="e">
        <f t="shared" si="14"/>
        <v>#REF!</v>
      </c>
      <c r="T40" s="2" t="e">
        <f t="shared" si="14"/>
        <v>#REF!</v>
      </c>
      <c r="U40" s="2" t="e">
        <f t="shared" si="14"/>
        <v>#REF!</v>
      </c>
      <c r="V40" s="2" t="e">
        <f t="shared" si="12"/>
        <v>#REF!</v>
      </c>
      <c r="W40" s="30"/>
      <c r="X40" s="30"/>
      <c r="Y40" s="30"/>
    </row>
    <row r="41" spans="2:38">
      <c r="B41" t="str">
        <f t="shared" si="9"/>
        <v>Egypt</v>
      </c>
      <c r="C41" s="2" t="e">
        <f t="shared" ref="C41:U41" si="15">_xlfn.NORM.DIST(C8,C$29,C$30,TRUE)</f>
        <v>#REF!</v>
      </c>
      <c r="D41" s="2" t="e">
        <f t="shared" si="15"/>
        <v>#REF!</v>
      </c>
      <c r="E41" s="2" t="e">
        <f t="shared" si="15"/>
        <v>#REF!</v>
      </c>
      <c r="F41" s="45" t="e">
        <f t="shared" si="15"/>
        <v>#REF!</v>
      </c>
      <c r="G41" s="45" t="e">
        <f t="shared" si="15"/>
        <v>#REF!</v>
      </c>
      <c r="H41" s="45" t="e">
        <f t="shared" si="15"/>
        <v>#REF!</v>
      </c>
      <c r="I41" s="45" t="e">
        <f t="shared" si="15"/>
        <v>#REF!</v>
      </c>
      <c r="J41" s="45" t="e">
        <f t="shared" si="15"/>
        <v>#REF!</v>
      </c>
      <c r="K41" s="2" t="e">
        <f t="shared" si="15"/>
        <v>#REF!</v>
      </c>
      <c r="L41" s="2" t="e">
        <f t="shared" si="15"/>
        <v>#REF!</v>
      </c>
      <c r="M41" s="2" t="e">
        <f t="shared" si="15"/>
        <v>#REF!</v>
      </c>
      <c r="N41" s="2" t="e">
        <f t="shared" si="15"/>
        <v>#REF!</v>
      </c>
      <c r="O41" s="45" t="e">
        <f t="shared" si="15"/>
        <v>#REF!</v>
      </c>
      <c r="P41" s="45" t="e">
        <f t="shared" si="15"/>
        <v>#REF!</v>
      </c>
      <c r="Q41" s="45" t="e">
        <f t="shared" si="15"/>
        <v>#REF!</v>
      </c>
      <c r="R41" s="45" t="e">
        <f t="shared" si="15"/>
        <v>#REF!</v>
      </c>
      <c r="S41" s="2" t="e">
        <f t="shared" si="15"/>
        <v>#REF!</v>
      </c>
      <c r="T41" s="2" t="e">
        <f t="shared" si="15"/>
        <v>#REF!</v>
      </c>
      <c r="U41" s="2" t="e">
        <f t="shared" si="15"/>
        <v>#REF!</v>
      </c>
      <c r="V41" s="2" t="e">
        <f t="shared" si="12"/>
        <v>#REF!</v>
      </c>
      <c r="W41" s="30"/>
      <c r="X41" s="30"/>
      <c r="Y41" s="30"/>
    </row>
    <row r="42" spans="2:38">
      <c r="B42" t="str">
        <f t="shared" si="9"/>
        <v>Khazakstan</v>
      </c>
      <c r="C42" s="2" t="e">
        <f t="shared" ref="C42:U42" si="16">_xlfn.NORM.DIST(C9,C$29,C$30,TRUE)</f>
        <v>#REF!</v>
      </c>
      <c r="D42" s="2" t="e">
        <f t="shared" si="16"/>
        <v>#REF!</v>
      </c>
      <c r="E42" s="2" t="e">
        <f t="shared" si="16"/>
        <v>#REF!</v>
      </c>
      <c r="F42" s="45" t="e">
        <f t="shared" si="16"/>
        <v>#REF!</v>
      </c>
      <c r="G42" s="45" t="e">
        <f t="shared" si="16"/>
        <v>#REF!</v>
      </c>
      <c r="H42" s="45" t="e">
        <f t="shared" si="16"/>
        <v>#REF!</v>
      </c>
      <c r="I42" s="45" t="e">
        <f t="shared" si="16"/>
        <v>#REF!</v>
      </c>
      <c r="J42" s="45" t="e">
        <f t="shared" si="16"/>
        <v>#REF!</v>
      </c>
      <c r="K42" s="2" t="e">
        <f t="shared" si="16"/>
        <v>#REF!</v>
      </c>
      <c r="L42" s="2" t="e">
        <f t="shared" si="16"/>
        <v>#REF!</v>
      </c>
      <c r="M42" s="2" t="e">
        <f t="shared" si="16"/>
        <v>#REF!</v>
      </c>
      <c r="N42" s="2" t="e">
        <f t="shared" si="16"/>
        <v>#REF!</v>
      </c>
      <c r="O42" s="45" t="e">
        <f t="shared" si="16"/>
        <v>#REF!</v>
      </c>
      <c r="P42" s="45" t="e">
        <f t="shared" si="16"/>
        <v>#REF!</v>
      </c>
      <c r="Q42" s="45" t="e">
        <f t="shared" si="16"/>
        <v>#REF!</v>
      </c>
      <c r="R42" s="45" t="e">
        <f t="shared" si="16"/>
        <v>#REF!</v>
      </c>
      <c r="S42" s="2" t="e">
        <f t="shared" si="16"/>
        <v>#REF!</v>
      </c>
      <c r="T42" s="2" t="e">
        <f t="shared" si="16"/>
        <v>#REF!</v>
      </c>
      <c r="U42" s="2" t="e">
        <f t="shared" si="16"/>
        <v>#REF!</v>
      </c>
      <c r="V42" s="2" t="e">
        <f t="shared" si="12"/>
        <v>#REF!</v>
      </c>
      <c r="W42" s="30"/>
      <c r="X42" s="30"/>
      <c r="Y42" s="30"/>
    </row>
    <row r="43" spans="2:38">
      <c r="B43" t="str">
        <f t="shared" si="9"/>
        <v>Bahrain</v>
      </c>
      <c r="C43" s="2" t="e">
        <f t="shared" ref="C43:U43" si="17">_xlfn.NORM.DIST(C10,C$29,C$30,TRUE)</f>
        <v>#REF!</v>
      </c>
      <c r="D43" s="2" t="e">
        <f t="shared" si="17"/>
        <v>#REF!</v>
      </c>
      <c r="E43" s="2" t="e">
        <f t="shared" si="17"/>
        <v>#REF!</v>
      </c>
      <c r="F43" s="45" t="e">
        <f t="shared" si="17"/>
        <v>#REF!</v>
      </c>
      <c r="G43" s="45" t="e">
        <f t="shared" si="17"/>
        <v>#REF!</v>
      </c>
      <c r="H43" s="45" t="e">
        <f t="shared" si="17"/>
        <v>#REF!</v>
      </c>
      <c r="I43" s="45" t="e">
        <f t="shared" si="17"/>
        <v>#REF!</v>
      </c>
      <c r="J43" s="45" t="e">
        <f t="shared" si="17"/>
        <v>#REF!</v>
      </c>
      <c r="K43" s="2" t="e">
        <f t="shared" si="17"/>
        <v>#REF!</v>
      </c>
      <c r="L43" s="2" t="e">
        <f t="shared" si="17"/>
        <v>#REF!</v>
      </c>
      <c r="M43" s="2" t="e">
        <f t="shared" si="17"/>
        <v>#REF!</v>
      </c>
      <c r="N43" s="2" t="e">
        <f t="shared" si="17"/>
        <v>#REF!</v>
      </c>
      <c r="O43" s="45" t="e">
        <f t="shared" si="17"/>
        <v>#REF!</v>
      </c>
      <c r="P43" s="45" t="e">
        <f t="shared" si="17"/>
        <v>#REF!</v>
      </c>
      <c r="Q43" s="45" t="e">
        <f t="shared" si="17"/>
        <v>#REF!</v>
      </c>
      <c r="R43" s="45" t="e">
        <f t="shared" si="17"/>
        <v>#REF!</v>
      </c>
      <c r="S43" s="2" t="e">
        <f t="shared" si="17"/>
        <v>#REF!</v>
      </c>
      <c r="T43" s="2" t="e">
        <f t="shared" si="17"/>
        <v>#REF!</v>
      </c>
      <c r="U43" s="2" t="e">
        <f t="shared" si="17"/>
        <v>#REF!</v>
      </c>
      <c r="V43" s="2" t="e">
        <f t="shared" si="12"/>
        <v>#REF!</v>
      </c>
      <c r="W43" s="30"/>
      <c r="X43" s="30"/>
      <c r="Y43" s="30"/>
    </row>
    <row r="44" spans="2:38">
      <c r="B44" t="str">
        <f>B23</f>
        <v>Italy</v>
      </c>
      <c r="C44" s="2" t="e">
        <f t="shared" ref="C44:U44" si="18">_xlfn.NORM.DIST(C23,C$29,C$30,TRUE)</f>
        <v>#REF!</v>
      </c>
      <c r="D44" s="2" t="e">
        <f t="shared" si="18"/>
        <v>#REF!</v>
      </c>
      <c r="E44" s="2" t="e">
        <f t="shared" si="18"/>
        <v>#REF!</v>
      </c>
      <c r="F44" s="45" t="e">
        <f t="shared" si="18"/>
        <v>#REF!</v>
      </c>
      <c r="G44" s="45" t="e">
        <f t="shared" si="18"/>
        <v>#REF!</v>
      </c>
      <c r="H44" s="45" t="e">
        <f t="shared" si="18"/>
        <v>#REF!</v>
      </c>
      <c r="I44" s="45" t="e">
        <f t="shared" si="18"/>
        <v>#REF!</v>
      </c>
      <c r="J44" s="45" t="e">
        <f t="shared" si="18"/>
        <v>#REF!</v>
      </c>
      <c r="K44" s="2" t="e">
        <f t="shared" si="18"/>
        <v>#REF!</v>
      </c>
      <c r="L44" s="2" t="e">
        <f t="shared" si="18"/>
        <v>#REF!</v>
      </c>
      <c r="M44" s="2" t="e">
        <f t="shared" si="18"/>
        <v>#REF!</v>
      </c>
      <c r="N44" s="2" t="e">
        <f t="shared" si="18"/>
        <v>#REF!</v>
      </c>
      <c r="O44" s="45" t="e">
        <f t="shared" si="18"/>
        <v>#REF!</v>
      </c>
      <c r="P44" s="45" t="e">
        <f t="shared" si="18"/>
        <v>#REF!</v>
      </c>
      <c r="Q44" s="45" t="e">
        <f t="shared" si="18"/>
        <v>#REF!</v>
      </c>
      <c r="R44" s="45" t="e">
        <f t="shared" si="18"/>
        <v>#REF!</v>
      </c>
      <c r="S44" s="2" t="e">
        <f t="shared" si="18"/>
        <v>#REF!</v>
      </c>
      <c r="T44" s="2" t="e">
        <f t="shared" si="18"/>
        <v>#REF!</v>
      </c>
      <c r="U44" s="2" t="e">
        <f t="shared" si="18"/>
        <v>#REF!</v>
      </c>
      <c r="V44" s="2" t="e">
        <f t="shared" si="12"/>
        <v>#REF!</v>
      </c>
      <c r="W44" s="30"/>
      <c r="X44" s="30"/>
      <c r="Y44" s="1"/>
    </row>
    <row r="45" spans="2:38">
      <c r="B45" t="str">
        <f>B24</f>
        <v>China</v>
      </c>
      <c r="C45" s="2" t="e">
        <f t="shared" ref="C45:U45" si="19">_xlfn.NORM.DIST(C24,C$29,C$30,TRUE)</f>
        <v>#REF!</v>
      </c>
      <c r="D45" s="2" t="e">
        <f t="shared" si="19"/>
        <v>#REF!</v>
      </c>
      <c r="E45" s="2" t="e">
        <f t="shared" si="19"/>
        <v>#REF!</v>
      </c>
      <c r="F45" s="45" t="e">
        <f t="shared" si="19"/>
        <v>#REF!</v>
      </c>
      <c r="G45" s="45" t="e">
        <f t="shared" si="19"/>
        <v>#REF!</v>
      </c>
      <c r="H45" s="45" t="e">
        <f t="shared" si="19"/>
        <v>#REF!</v>
      </c>
      <c r="I45" s="45" t="e">
        <f t="shared" si="19"/>
        <v>#REF!</v>
      </c>
      <c r="J45" s="45" t="e">
        <f t="shared" si="19"/>
        <v>#REF!</v>
      </c>
      <c r="K45" s="2" t="e">
        <f t="shared" si="19"/>
        <v>#REF!</v>
      </c>
      <c r="L45" s="2" t="e">
        <f t="shared" si="19"/>
        <v>#REF!</v>
      </c>
      <c r="M45" s="2" t="e">
        <f t="shared" si="19"/>
        <v>#REF!</v>
      </c>
      <c r="N45" s="2" t="e">
        <f t="shared" si="19"/>
        <v>#REF!</v>
      </c>
      <c r="O45" s="45" t="e">
        <f t="shared" si="19"/>
        <v>#REF!</v>
      </c>
      <c r="P45" s="45" t="e">
        <f t="shared" si="19"/>
        <v>#REF!</v>
      </c>
      <c r="Q45" s="45" t="e">
        <f t="shared" si="19"/>
        <v>#REF!</v>
      </c>
      <c r="R45" s="45" t="e">
        <f t="shared" si="19"/>
        <v>#REF!</v>
      </c>
      <c r="S45" s="2" t="e">
        <f t="shared" si="19"/>
        <v>#REF!</v>
      </c>
      <c r="T45" s="2" t="e">
        <f t="shared" si="19"/>
        <v>#REF!</v>
      </c>
      <c r="U45" s="2" t="e">
        <f t="shared" si="19"/>
        <v>#REF!</v>
      </c>
      <c r="V45" s="2" t="e">
        <f t="shared" si="12"/>
        <v>#REF!</v>
      </c>
      <c r="W45" s="30"/>
      <c r="X45" s="30"/>
      <c r="Y45" s="1"/>
    </row>
    <row r="46" spans="2:38">
      <c r="B46" t="str">
        <f>B25</f>
        <v>Saudi Arabia</v>
      </c>
      <c r="C46" s="2" t="e">
        <f t="shared" ref="C46:U46" si="20">_xlfn.NORM.DIST(C25,C$29,C$30,TRUE)</f>
        <v>#REF!</v>
      </c>
      <c r="D46" s="2" t="e">
        <f t="shared" si="20"/>
        <v>#REF!</v>
      </c>
      <c r="E46" s="2" t="e">
        <f t="shared" si="20"/>
        <v>#REF!</v>
      </c>
      <c r="F46" s="45" t="e">
        <f t="shared" si="20"/>
        <v>#REF!</v>
      </c>
      <c r="G46" s="45" t="e">
        <f t="shared" si="20"/>
        <v>#REF!</v>
      </c>
      <c r="H46" s="45" t="e">
        <f t="shared" si="20"/>
        <v>#REF!</v>
      </c>
      <c r="I46" s="45" t="e">
        <f t="shared" si="20"/>
        <v>#REF!</v>
      </c>
      <c r="J46" s="45" t="e">
        <f t="shared" si="20"/>
        <v>#REF!</v>
      </c>
      <c r="K46" s="2" t="e">
        <f t="shared" si="20"/>
        <v>#REF!</v>
      </c>
      <c r="L46" s="2" t="e">
        <f t="shared" si="20"/>
        <v>#REF!</v>
      </c>
      <c r="M46" s="2" t="e">
        <f t="shared" si="20"/>
        <v>#REF!</v>
      </c>
      <c r="N46" s="2" t="e">
        <f t="shared" si="20"/>
        <v>#REF!</v>
      </c>
      <c r="O46" s="45" t="e">
        <f t="shared" si="20"/>
        <v>#REF!</v>
      </c>
      <c r="P46" s="45" t="e">
        <f t="shared" si="20"/>
        <v>#REF!</v>
      </c>
      <c r="Q46" s="45" t="e">
        <f t="shared" si="20"/>
        <v>#REF!</v>
      </c>
      <c r="R46" s="45" t="e">
        <f t="shared" si="20"/>
        <v>#REF!</v>
      </c>
      <c r="S46" s="2" t="e">
        <f t="shared" si="20"/>
        <v>#REF!</v>
      </c>
      <c r="T46" s="2" t="e">
        <f t="shared" si="20"/>
        <v>#REF!</v>
      </c>
      <c r="U46" s="2" t="e">
        <f t="shared" si="20"/>
        <v>#REF!</v>
      </c>
      <c r="V46" s="2" t="e">
        <f t="shared" si="12"/>
        <v>#REF!</v>
      </c>
      <c r="W46" s="30"/>
      <c r="X46" s="30"/>
      <c r="Y46" s="1"/>
      <c r="Z46" s="23"/>
    </row>
    <row r="47" spans="2:38">
      <c r="B47" t="str">
        <f>B26</f>
        <v>Russia</v>
      </c>
      <c r="C47" s="2" t="e">
        <f t="shared" ref="C47:U47" si="21">_xlfn.NORM.DIST(C26,C$29,C$30,TRUE)</f>
        <v>#REF!</v>
      </c>
      <c r="D47" s="2" t="e">
        <f t="shared" si="21"/>
        <v>#REF!</v>
      </c>
      <c r="E47" s="2" t="e">
        <f t="shared" si="21"/>
        <v>#REF!</v>
      </c>
      <c r="F47" s="45" t="e">
        <f t="shared" si="21"/>
        <v>#REF!</v>
      </c>
      <c r="G47" s="45" t="e">
        <f t="shared" si="21"/>
        <v>#REF!</v>
      </c>
      <c r="H47" s="45" t="e">
        <f t="shared" si="21"/>
        <v>#REF!</v>
      </c>
      <c r="I47" s="45" t="e">
        <f t="shared" si="21"/>
        <v>#REF!</v>
      </c>
      <c r="J47" s="45" t="e">
        <f t="shared" si="21"/>
        <v>#REF!</v>
      </c>
      <c r="K47" s="2" t="e">
        <f t="shared" si="21"/>
        <v>#REF!</v>
      </c>
      <c r="L47" s="2" t="e">
        <f t="shared" si="21"/>
        <v>#REF!</v>
      </c>
      <c r="M47" s="2" t="e">
        <f t="shared" si="21"/>
        <v>#REF!</v>
      </c>
      <c r="N47" s="2" t="e">
        <f t="shared" si="21"/>
        <v>#REF!</v>
      </c>
      <c r="O47" s="45" t="e">
        <f t="shared" si="21"/>
        <v>#REF!</v>
      </c>
      <c r="P47" s="45" t="e">
        <f t="shared" si="21"/>
        <v>#REF!</v>
      </c>
      <c r="Q47" s="45" t="e">
        <f t="shared" si="21"/>
        <v>#REF!</v>
      </c>
      <c r="R47" s="45" t="e">
        <f t="shared" si="21"/>
        <v>#REF!</v>
      </c>
      <c r="S47" s="2" t="e">
        <f t="shared" si="21"/>
        <v>#REF!</v>
      </c>
      <c r="T47" s="2" t="e">
        <f t="shared" si="21"/>
        <v>#REF!</v>
      </c>
      <c r="U47" s="2" t="e">
        <f t="shared" si="21"/>
        <v>#REF!</v>
      </c>
      <c r="V47" s="2" t="e">
        <f t="shared" si="12"/>
        <v>#REF!</v>
      </c>
    </row>
    <row r="48" spans="2:38">
      <c r="B48" t="str">
        <f>B27</f>
        <v>Kuwait</v>
      </c>
      <c r="C48" s="2" t="e">
        <f t="shared" ref="C48:U48" si="22">_xlfn.NORM.DIST(C27,C$29,C$30,TRUE)</f>
        <v>#REF!</v>
      </c>
      <c r="D48" s="2" t="e">
        <f t="shared" si="22"/>
        <v>#REF!</v>
      </c>
      <c r="E48" s="2" t="e">
        <f t="shared" si="22"/>
        <v>#REF!</v>
      </c>
      <c r="F48" s="45" t="e">
        <f t="shared" si="22"/>
        <v>#REF!</v>
      </c>
      <c r="G48" s="45" t="e">
        <f t="shared" si="22"/>
        <v>#REF!</v>
      </c>
      <c r="H48" s="45" t="e">
        <f t="shared" si="22"/>
        <v>#REF!</v>
      </c>
      <c r="I48" s="45" t="e">
        <f t="shared" si="22"/>
        <v>#REF!</v>
      </c>
      <c r="J48" s="45" t="e">
        <f t="shared" si="22"/>
        <v>#REF!</v>
      </c>
      <c r="K48" s="2" t="e">
        <f t="shared" si="22"/>
        <v>#REF!</v>
      </c>
      <c r="L48" s="2" t="e">
        <f t="shared" si="22"/>
        <v>#REF!</v>
      </c>
      <c r="M48" s="2" t="e">
        <f t="shared" si="22"/>
        <v>#REF!</v>
      </c>
      <c r="N48" s="2" t="e">
        <f t="shared" si="22"/>
        <v>#REF!</v>
      </c>
      <c r="O48" s="45" t="e">
        <f t="shared" si="22"/>
        <v>#REF!</v>
      </c>
      <c r="P48" s="45" t="e">
        <f t="shared" si="22"/>
        <v>#REF!</v>
      </c>
      <c r="Q48" s="45" t="e">
        <f t="shared" si="22"/>
        <v>#REF!</v>
      </c>
      <c r="R48" s="45" t="e">
        <f t="shared" si="22"/>
        <v>#REF!</v>
      </c>
      <c r="S48" s="2" t="e">
        <f t="shared" si="22"/>
        <v>#REF!</v>
      </c>
      <c r="T48" s="2" t="e">
        <f t="shared" si="22"/>
        <v>#REF!</v>
      </c>
      <c r="U48" s="2" t="e">
        <f t="shared" si="22"/>
        <v>#REF!</v>
      </c>
      <c r="V48" s="2" t="e">
        <f t="shared" si="12"/>
        <v>#REF!</v>
      </c>
    </row>
    <row r="53" spans="2:2">
      <c r="B53" s="74" t="s">
        <v>208</v>
      </c>
    </row>
    <row r="54" spans="2:2">
      <c r="B54" s="74" t="s">
        <v>207</v>
      </c>
    </row>
    <row r="55" spans="2:2">
      <c r="B55" s="74" t="s">
        <v>167</v>
      </c>
    </row>
    <row r="56" spans="2:2">
      <c r="B56" s="74" t="s">
        <v>61</v>
      </c>
    </row>
    <row r="57" spans="2:2">
      <c r="B57" s="74" t="s">
        <v>206</v>
      </c>
    </row>
    <row r="58" spans="2:2">
      <c r="B58" s="74" t="s">
        <v>165</v>
      </c>
    </row>
    <row r="59" spans="2:2">
      <c r="B59" s="74" t="s">
        <v>120</v>
      </c>
    </row>
    <row r="60" spans="2:2">
      <c r="B60" s="74" t="s">
        <v>155</v>
      </c>
    </row>
    <row r="61" spans="2:2">
      <c r="B61" s="74" t="s">
        <v>187</v>
      </c>
    </row>
    <row r="62" spans="2:2">
      <c r="B62" s="74" t="s">
        <v>139</v>
      </c>
    </row>
    <row r="63" spans="2:2">
      <c r="B63" s="74" t="s">
        <v>146</v>
      </c>
    </row>
    <row r="64" spans="2:2">
      <c r="B64" s="44" t="s">
        <v>90</v>
      </c>
    </row>
    <row r="65" spans="2:2">
      <c r="B65" s="44" t="s">
        <v>227</v>
      </c>
    </row>
    <row r="66" spans="2:2">
      <c r="B66" s="44" t="s">
        <v>161</v>
      </c>
    </row>
    <row r="67" spans="2:2">
      <c r="B67" s="44" t="s">
        <v>154</v>
      </c>
    </row>
    <row r="68" spans="2:2">
      <c r="B68" s="44" t="s">
        <v>177</v>
      </c>
    </row>
    <row r="69" spans="2:2">
      <c r="B69" s="44" t="s">
        <v>142</v>
      </c>
    </row>
    <row r="70" spans="2:2">
      <c r="B70" s="44" t="s">
        <v>136</v>
      </c>
    </row>
    <row r="71" spans="2:2">
      <c r="B71" s="44" t="s">
        <v>168</v>
      </c>
    </row>
    <row r="72" spans="2:2">
      <c r="B72" s="44" t="s">
        <v>184</v>
      </c>
    </row>
    <row r="73" spans="2:2">
      <c r="B73" s="44" t="s">
        <v>171</v>
      </c>
    </row>
    <row r="74" spans="2:2">
      <c r="B74" s="44" t="s">
        <v>89</v>
      </c>
    </row>
    <row r="75" spans="2:2">
      <c r="B75" s="44" t="s">
        <v>159</v>
      </c>
    </row>
    <row r="76" spans="2:2">
      <c r="B76" s="44" t="s">
        <v>176</v>
      </c>
    </row>
    <row r="77" spans="2:2">
      <c r="B77" s="44" t="s">
        <v>119</v>
      </c>
    </row>
    <row r="78" spans="2:2">
      <c r="B78" s="44" t="s">
        <v>183</v>
      </c>
    </row>
  </sheetData>
  <autoFilter ref="B2:AA2" xr:uid="{70267F6D-DF6A-4561-9FA1-635F9F7A6E14}">
    <sortState xmlns:xlrd2="http://schemas.microsoft.com/office/spreadsheetml/2017/richdata2" ref="B3:AA11">
      <sortCondition descending="1" ref="V2"/>
    </sortState>
  </autoFilter>
  <mergeCells count="3">
    <mergeCell ref="C1:F1"/>
    <mergeCell ref="G1:I1"/>
    <mergeCell ref="C35:U35"/>
  </mergeCells>
  <conditionalFormatting sqref="C37:U4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7:V4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CE9B-6C16-6C47-86EB-0078E5639494}">
  <sheetPr>
    <tabColor rgb="FF00B050"/>
  </sheetPr>
  <dimension ref="A1:AI160"/>
  <sheetViews>
    <sheetView showGridLines="0" tabSelected="1" topLeftCell="D1" zoomScale="90" zoomScaleNormal="162" zoomScaleSheetLayoutView="80" workbookViewId="0">
      <selection activeCell="K29" sqref="K29"/>
    </sheetView>
  </sheetViews>
  <sheetFormatPr baseColWidth="10" defaultColWidth="8.83203125" defaultRowHeight="15" customHeight="1"/>
  <cols>
    <col min="1" max="1" width="0" style="17" hidden="1" customWidth="1"/>
    <col min="2" max="2" width="18" style="17" hidden="1" customWidth="1"/>
    <col min="3" max="3" width="13.5" style="17" hidden="1" customWidth="1"/>
    <col min="4" max="4" width="4.6640625" style="17" customWidth="1"/>
    <col min="5" max="5" width="13.5" style="17" customWidth="1"/>
    <col min="6" max="6" width="14" style="17" bestFit="1" customWidth="1"/>
    <col min="7" max="7" width="13.5" style="17" customWidth="1"/>
    <col min="8" max="8" width="4" style="17" customWidth="1"/>
    <col min="9" max="9" width="4.83203125" style="17" customWidth="1"/>
    <col min="10" max="10" width="12.1640625" style="17" customWidth="1"/>
    <col min="11" max="14" width="18" style="17" customWidth="1"/>
    <col min="15" max="15" width="18.6640625" style="17" customWidth="1"/>
    <col min="16" max="19" width="18" style="17" customWidth="1"/>
    <col min="20" max="20" width="3.5" style="17" customWidth="1"/>
    <col min="21" max="21" width="12.5" style="17" customWidth="1"/>
    <col min="22" max="23" width="17.1640625" style="17" customWidth="1"/>
    <col min="24" max="24" width="17.5" style="17" customWidth="1"/>
    <col min="25" max="25" width="14.5" style="17" bestFit="1" customWidth="1"/>
    <col min="26" max="26" width="8.5" style="17" bestFit="1" customWidth="1"/>
    <col min="27" max="32" width="8.5" style="21" bestFit="1" customWidth="1"/>
    <col min="33" max="34" width="15.5" style="21" bestFit="1" customWidth="1"/>
    <col min="35" max="35" width="8.83203125" style="21" bestFit="1"/>
    <col min="36" max="38" width="8.83203125" style="17" bestFit="1"/>
    <col min="39" max="16384" width="8.83203125" style="17"/>
  </cols>
  <sheetData>
    <row r="1" spans="1:34" ht="39.5" customHeight="1"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X1" s="177">
        <v>10000000</v>
      </c>
    </row>
    <row r="2" spans="1:34" ht="58" customHeight="1">
      <c r="B2" s="17" t="s">
        <v>272</v>
      </c>
      <c r="C2" s="17" t="s">
        <v>278</v>
      </c>
      <c r="E2" s="17" t="s">
        <v>287</v>
      </c>
      <c r="F2" s="17" t="s">
        <v>286</v>
      </c>
      <c r="G2" s="17" t="s">
        <v>289</v>
      </c>
      <c r="J2" s="81" t="s">
        <v>284</v>
      </c>
      <c r="K2" s="84" t="s">
        <v>288</v>
      </c>
      <c r="L2" s="84" t="s">
        <v>291</v>
      </c>
      <c r="M2" s="84" t="s">
        <v>292</v>
      </c>
      <c r="N2" s="84" t="s">
        <v>290</v>
      </c>
      <c r="O2" s="84" t="s">
        <v>295</v>
      </c>
      <c r="P2" s="84" t="s">
        <v>282</v>
      </c>
      <c r="Q2" s="187" t="s">
        <v>297</v>
      </c>
      <c r="R2" s="84" t="s">
        <v>298</v>
      </c>
      <c r="S2" s="84" t="s">
        <v>283</v>
      </c>
      <c r="V2" s="139" t="s">
        <v>204</v>
      </c>
      <c r="W2" s="139" t="s">
        <v>205</v>
      </c>
      <c r="X2" s="178"/>
      <c r="AA2" s="20"/>
      <c r="AB2" s="20"/>
    </row>
    <row r="3" spans="1:34" ht="18" customHeight="1">
      <c r="A3" s="162" t="s">
        <v>206</v>
      </c>
      <c r="B3" s="153">
        <v>1670145</v>
      </c>
      <c r="C3" s="79"/>
      <c r="D3" s="79"/>
      <c r="E3" s="79"/>
      <c r="F3" s="153">
        <v>143394458</v>
      </c>
      <c r="G3" s="79">
        <v>17400000</v>
      </c>
      <c r="H3" s="79"/>
      <c r="I3" s="79"/>
      <c r="J3" t="s">
        <v>139</v>
      </c>
      <c r="K3" s="153">
        <v>1</v>
      </c>
      <c r="L3" s="153">
        <v>2230000</v>
      </c>
      <c r="M3" s="188">
        <v>0.38</v>
      </c>
      <c r="N3" s="156">
        <f>L3/G3</f>
        <v>0.12816091954022987</v>
      </c>
      <c r="O3" s="189">
        <v>38.9</v>
      </c>
      <c r="P3" s="163">
        <v>14</v>
      </c>
      <c r="Q3" s="190">
        <v>18525</v>
      </c>
      <c r="R3" s="1">
        <v>3902</v>
      </c>
      <c r="S3" s="78">
        <v>10</v>
      </c>
      <c r="U3" t="s">
        <v>139</v>
      </c>
      <c r="V3" s="78">
        <f>SUMPRODUCT($K$31:$S$31,K36:S36)</f>
        <v>41.231890052598956</v>
      </c>
      <c r="W3" s="156">
        <f>V3/SUM($V$3:$V$27)</f>
        <v>5.7194210600357107E-2</v>
      </c>
      <c r="X3" s="179">
        <f t="shared" ref="X3:X27" si="0">W3*$X$1</f>
        <v>571942.10600357107</v>
      </c>
      <c r="Y3" s="87"/>
      <c r="AG3" s="96"/>
      <c r="AH3" s="96"/>
    </row>
    <row r="4" spans="1:34" ht="18" customHeight="1">
      <c r="A4" s="162" t="s">
        <v>207</v>
      </c>
      <c r="B4" s="153"/>
      <c r="C4" s="79"/>
      <c r="D4" s="79"/>
      <c r="E4" s="79"/>
      <c r="F4" s="153">
        <v>83644258</v>
      </c>
      <c r="G4" s="79">
        <v>164526000</v>
      </c>
      <c r="H4" s="79"/>
      <c r="I4" s="79"/>
      <c r="J4" t="s">
        <v>187</v>
      </c>
      <c r="K4" s="153">
        <v>1</v>
      </c>
      <c r="L4" s="153">
        <v>1880000</v>
      </c>
      <c r="M4" s="188">
        <v>0.11</v>
      </c>
      <c r="N4" s="156">
        <f t="shared" ref="N4:N27" si="1">L4/G4</f>
        <v>1.1426765374469688E-2</v>
      </c>
      <c r="O4" s="189">
        <v>120.3</v>
      </c>
      <c r="P4" s="163">
        <v>10</v>
      </c>
      <c r="Q4" s="190">
        <v>65303</v>
      </c>
      <c r="R4" s="1">
        <v>5900</v>
      </c>
      <c r="S4" s="78">
        <v>10</v>
      </c>
      <c r="U4" t="s">
        <v>187</v>
      </c>
      <c r="V4" s="78">
        <f t="shared" ref="V4:V27" si="2">SUMPRODUCT($K$31:$S$31,K37:S37)</f>
        <v>44.097650058987902</v>
      </c>
      <c r="W4" s="156">
        <f t="shared" ref="W4:W27" si="3">V4/SUM($V$3:$V$27)</f>
        <v>6.1169407495925046E-2</v>
      </c>
      <c r="X4" s="179">
        <f t="shared" si="0"/>
        <v>611694.07495925052</v>
      </c>
      <c r="Y4" s="87"/>
      <c r="AG4" s="96"/>
      <c r="AH4" s="96"/>
    </row>
    <row r="5" spans="1:34" ht="18" customHeight="1">
      <c r="A5" s="162" t="s">
        <v>167</v>
      </c>
      <c r="B5" s="153">
        <v>22955130</v>
      </c>
      <c r="C5" s="153">
        <v>295768</v>
      </c>
      <c r="D5" s="153"/>
      <c r="E5" s="153"/>
      <c r="F5" s="153">
        <v>35165787</v>
      </c>
      <c r="G5" s="79">
        <v>31970000</v>
      </c>
      <c r="H5" s="153"/>
      <c r="I5" s="153"/>
      <c r="J5" t="s">
        <v>155</v>
      </c>
      <c r="K5" s="153">
        <v>1</v>
      </c>
      <c r="L5" s="153">
        <v>1180000</v>
      </c>
      <c r="M5" s="188">
        <v>0</v>
      </c>
      <c r="N5" s="156">
        <f t="shared" si="1"/>
        <v>3.6909602752580546E-2</v>
      </c>
      <c r="O5" s="189">
        <v>31.85</v>
      </c>
      <c r="P5" s="163">
        <v>6.5</v>
      </c>
      <c r="Q5" s="191">
        <v>37811</v>
      </c>
      <c r="R5" s="1">
        <v>22461</v>
      </c>
      <c r="S5" s="78">
        <v>10</v>
      </c>
      <c r="U5" t="s">
        <v>155</v>
      </c>
      <c r="V5" s="78">
        <f t="shared" si="2"/>
        <v>41.795647473744438</v>
      </c>
      <c r="W5" s="156">
        <f t="shared" si="3"/>
        <v>5.7976218425644183E-2</v>
      </c>
      <c r="X5" s="179">
        <f t="shared" si="0"/>
        <v>579762.18425644177</v>
      </c>
      <c r="Y5" s="87"/>
      <c r="AG5" s="96"/>
      <c r="AH5" s="96"/>
    </row>
    <row r="6" spans="1:34" ht="18" customHeight="1">
      <c r="A6" s="162" t="s">
        <v>187</v>
      </c>
      <c r="B6" s="153">
        <v>1507126</v>
      </c>
      <c r="C6" s="153">
        <v>479662</v>
      </c>
      <c r="D6" s="153"/>
      <c r="E6" s="153"/>
      <c r="F6" s="153">
        <v>37843188</v>
      </c>
      <c r="G6" s="79">
        <v>43312000</v>
      </c>
      <c r="H6" s="153"/>
      <c r="I6" s="153"/>
      <c r="J6" t="s">
        <v>159</v>
      </c>
      <c r="K6" s="153">
        <v>1</v>
      </c>
      <c r="L6" s="153">
        <v>1140000</v>
      </c>
      <c r="M6" s="188">
        <v>0.35</v>
      </c>
      <c r="N6" s="156">
        <f t="shared" si="1"/>
        <v>2.6320650166235686E-2</v>
      </c>
      <c r="O6" s="189">
        <v>12.8</v>
      </c>
      <c r="P6" s="163">
        <v>4.5</v>
      </c>
      <c r="Q6" s="191">
        <v>31336</v>
      </c>
      <c r="R6" s="1">
        <v>999</v>
      </c>
      <c r="S6" s="78">
        <v>10</v>
      </c>
      <c r="U6" t="s">
        <v>159</v>
      </c>
      <c r="V6" s="78">
        <f t="shared" si="2"/>
        <v>41.012734677411814</v>
      </c>
      <c r="W6" s="156">
        <f t="shared" si="3"/>
        <v>5.689021244100366E-2</v>
      </c>
      <c r="X6" s="179">
        <f t="shared" si="0"/>
        <v>568902.1244100366</v>
      </c>
      <c r="Y6" s="87"/>
      <c r="AG6" s="96"/>
      <c r="AH6" s="96"/>
    </row>
    <row r="7" spans="1:34" ht="18" customHeight="1">
      <c r="A7" s="162"/>
      <c r="B7" s="153"/>
      <c r="C7" s="153"/>
      <c r="D7" s="153"/>
      <c r="E7" s="153"/>
      <c r="F7" s="153">
        <v>58926166</v>
      </c>
      <c r="G7" s="79">
        <v>56586000</v>
      </c>
      <c r="H7" s="153"/>
      <c r="I7" s="153"/>
      <c r="J7" t="s">
        <v>165</v>
      </c>
      <c r="K7" s="153">
        <v>1</v>
      </c>
      <c r="L7" s="153">
        <v>1140000</v>
      </c>
      <c r="M7" s="188">
        <v>0.41</v>
      </c>
      <c r="N7" s="156">
        <f t="shared" si="1"/>
        <v>2.0146325946347153E-2</v>
      </c>
      <c r="O7" s="189">
        <v>35.700000000000003</v>
      </c>
      <c r="P7" s="163">
        <v>7.5</v>
      </c>
      <c r="Q7" s="190">
        <v>46505</v>
      </c>
      <c r="R7" s="1">
        <v>2437</v>
      </c>
      <c r="S7" s="78">
        <v>10</v>
      </c>
      <c r="U7" t="s">
        <v>165</v>
      </c>
      <c r="V7" s="78">
        <f t="shared" si="2"/>
        <v>40.983589148211983</v>
      </c>
      <c r="W7" s="156">
        <f t="shared" si="3"/>
        <v>5.6849783648314618E-2</v>
      </c>
      <c r="X7" s="179">
        <f t="shared" si="0"/>
        <v>568497.83648314618</v>
      </c>
      <c r="Y7" s="87"/>
      <c r="AG7" s="96"/>
      <c r="AH7" s="96"/>
    </row>
    <row r="8" spans="1:34" ht="18" customHeight="1">
      <c r="A8" s="162" t="s">
        <v>139</v>
      </c>
      <c r="B8" s="153">
        <v>3251927</v>
      </c>
      <c r="C8" s="79"/>
      <c r="D8" s="79"/>
      <c r="E8" s="79"/>
      <c r="F8" s="153">
        <v>69931528</v>
      </c>
      <c r="G8" s="79">
        <v>91434000</v>
      </c>
      <c r="H8" s="79"/>
      <c r="I8" s="79"/>
      <c r="J8" t="s">
        <v>206</v>
      </c>
      <c r="K8" s="153">
        <v>1</v>
      </c>
      <c r="L8" s="153">
        <v>1070000</v>
      </c>
      <c r="M8" s="188">
        <v>0.17</v>
      </c>
      <c r="N8" s="156">
        <f t="shared" si="1"/>
        <v>1.1702430168208763E-2</v>
      </c>
      <c r="O8" s="189">
        <v>119.2</v>
      </c>
      <c r="P8" s="163">
        <v>11</v>
      </c>
      <c r="Q8" s="190">
        <v>61056</v>
      </c>
      <c r="R8" s="1">
        <v>2484</v>
      </c>
      <c r="S8" s="78">
        <v>6</v>
      </c>
      <c r="U8" t="s">
        <v>206</v>
      </c>
      <c r="V8" s="78">
        <f t="shared" si="2"/>
        <v>36.62868791379735</v>
      </c>
      <c r="W8" s="156">
        <f t="shared" si="3"/>
        <v>5.0808946373401338E-2</v>
      </c>
      <c r="X8" s="179">
        <f t="shared" si="0"/>
        <v>508089.46373401338</v>
      </c>
      <c r="Y8" s="87"/>
      <c r="AG8" s="96"/>
      <c r="AH8" s="96"/>
    </row>
    <row r="9" spans="1:34" ht="18" customHeight="1">
      <c r="A9" s="162" t="s">
        <v>120</v>
      </c>
      <c r="B9" s="153">
        <v>35318583</v>
      </c>
      <c r="C9" s="79"/>
      <c r="D9" s="79"/>
      <c r="E9" s="79"/>
      <c r="F9" s="153">
        <v>349035494</v>
      </c>
      <c r="G9" s="79">
        <v>60549000</v>
      </c>
      <c r="H9" s="79"/>
      <c r="I9" s="79"/>
      <c r="J9" t="s">
        <v>207</v>
      </c>
      <c r="K9" s="153">
        <v>12</v>
      </c>
      <c r="L9" s="153">
        <v>526000</v>
      </c>
      <c r="M9" s="188">
        <v>0.19</v>
      </c>
      <c r="N9" s="156">
        <f t="shared" si="1"/>
        <v>8.6871789790087372E-3</v>
      </c>
      <c r="O9" s="189">
        <v>177.8</v>
      </c>
      <c r="P9" s="163">
        <v>16</v>
      </c>
      <c r="Q9" s="190">
        <v>94430</v>
      </c>
      <c r="R9" s="1">
        <v>717</v>
      </c>
      <c r="S9" s="78">
        <v>6</v>
      </c>
      <c r="U9" t="s">
        <v>207</v>
      </c>
      <c r="V9" s="78">
        <f t="shared" si="2"/>
        <v>39.148557125251727</v>
      </c>
      <c r="W9" s="156">
        <f t="shared" si="3"/>
        <v>5.4304345933824667E-2</v>
      </c>
      <c r="X9" s="179">
        <f t="shared" si="0"/>
        <v>543043.45933824673</v>
      </c>
      <c r="Y9" s="87"/>
      <c r="AG9" s="96"/>
      <c r="AH9" s="96"/>
    </row>
    <row r="10" spans="1:34" ht="18" customHeight="1">
      <c r="A10" s="162" t="s">
        <v>208</v>
      </c>
      <c r="B10" s="153">
        <v>293746</v>
      </c>
      <c r="C10" s="79"/>
      <c r="D10" s="79"/>
      <c r="E10" s="79"/>
      <c r="F10" s="153">
        <v>66746401</v>
      </c>
      <c r="G10" s="79">
        <v>50378000</v>
      </c>
      <c r="H10" s="79"/>
      <c r="I10" s="79"/>
      <c r="J10" t="s">
        <v>167</v>
      </c>
      <c r="K10" s="153">
        <v>34</v>
      </c>
      <c r="L10" s="153">
        <v>507000</v>
      </c>
      <c r="M10" s="188">
        <v>0.31</v>
      </c>
      <c r="N10" s="156">
        <f t="shared" si="1"/>
        <v>1.0063916789074596E-2</v>
      </c>
      <c r="O10" s="189">
        <v>59.8</v>
      </c>
      <c r="P10" s="163">
        <v>8.5</v>
      </c>
      <c r="Q10" s="191">
        <v>52083</v>
      </c>
      <c r="R10" s="1">
        <v>1898</v>
      </c>
      <c r="S10" s="78">
        <v>6</v>
      </c>
      <c r="U10" t="s">
        <v>167</v>
      </c>
      <c r="V10" s="78">
        <f t="shared" si="2"/>
        <v>38.362466205487117</v>
      </c>
      <c r="W10" s="156">
        <f t="shared" si="3"/>
        <v>5.3213931461951303E-2</v>
      </c>
      <c r="X10" s="179">
        <f t="shared" si="0"/>
        <v>532139.314619513</v>
      </c>
      <c r="Y10" s="87"/>
      <c r="AG10" s="96"/>
      <c r="AH10" s="96"/>
    </row>
    <row r="11" spans="1:34" ht="18" customHeight="1">
      <c r="A11" s="162" t="s">
        <v>186</v>
      </c>
      <c r="B11" s="153">
        <v>3061306</v>
      </c>
      <c r="C11" s="153">
        <v>40116</v>
      </c>
      <c r="D11" s="153"/>
      <c r="E11" s="153"/>
      <c r="F11" s="153">
        <v>10527781</v>
      </c>
      <c r="G11" s="79">
        <v>7523000</v>
      </c>
      <c r="H11" s="153"/>
      <c r="I11" s="153"/>
      <c r="J11" t="s">
        <v>163</v>
      </c>
      <c r="K11" s="153">
        <v>1</v>
      </c>
      <c r="L11" s="153">
        <v>495000</v>
      </c>
      <c r="M11" s="188">
        <v>0.03</v>
      </c>
      <c r="N11" s="156">
        <f t="shared" si="1"/>
        <v>6.5798218795693211E-2</v>
      </c>
      <c r="O11" s="189">
        <v>8.93</v>
      </c>
      <c r="P11" s="163"/>
      <c r="Q11" s="191">
        <v>39795</v>
      </c>
      <c r="R11" s="1">
        <v>957</v>
      </c>
      <c r="S11" s="78">
        <v>6</v>
      </c>
      <c r="U11" t="s">
        <v>163</v>
      </c>
      <c r="V11" s="78">
        <f t="shared" si="2"/>
        <v>35.029257957378334</v>
      </c>
      <c r="W11" s="156">
        <f t="shared" si="3"/>
        <v>4.8590320604578914E-2</v>
      </c>
      <c r="X11" s="179">
        <f t="shared" si="0"/>
        <v>485903.20604578912</v>
      </c>
      <c r="Y11" s="87"/>
      <c r="AG11" s="96"/>
      <c r="AH11" s="96"/>
    </row>
    <row r="12" spans="1:34" ht="18" customHeight="1">
      <c r="A12" s="162"/>
      <c r="B12" s="153"/>
      <c r="C12" s="153"/>
      <c r="D12" s="153"/>
      <c r="E12" s="153"/>
      <c r="F12" s="153">
        <v>1412914089</v>
      </c>
      <c r="G12" s="79">
        <v>148360000</v>
      </c>
      <c r="H12" s="153"/>
      <c r="I12" s="153"/>
      <c r="J12" t="s">
        <v>120</v>
      </c>
      <c r="K12" s="153">
        <v>1</v>
      </c>
      <c r="L12" s="153">
        <v>372000</v>
      </c>
      <c r="M12" s="188">
        <v>0.13</v>
      </c>
      <c r="N12" s="156">
        <f t="shared" si="1"/>
        <v>2.5074143974117011E-3</v>
      </c>
      <c r="O12" s="189">
        <v>250</v>
      </c>
      <c r="P12" s="163">
        <v>7</v>
      </c>
      <c r="Q12" s="191">
        <v>14874</v>
      </c>
      <c r="R12" s="1">
        <v>1036</v>
      </c>
      <c r="S12" s="78">
        <v>6</v>
      </c>
      <c r="U12" t="s">
        <v>120</v>
      </c>
      <c r="V12" s="78">
        <f t="shared" si="2"/>
        <v>31.824300484305343</v>
      </c>
      <c r="W12" s="156">
        <f t="shared" si="3"/>
        <v>4.4144610925825764E-2</v>
      </c>
      <c r="X12" s="179">
        <f t="shared" si="0"/>
        <v>441446.10925825767</v>
      </c>
      <c r="Y12" s="87"/>
      <c r="AG12" s="96"/>
      <c r="AH12" s="96"/>
    </row>
    <row r="13" spans="1:34" ht="18" customHeight="1">
      <c r="A13" s="162"/>
      <c r="B13" s="153"/>
      <c r="C13" s="153"/>
      <c r="D13" s="153"/>
      <c r="E13" s="153"/>
      <c r="F13" s="153">
        <v>18448775</v>
      </c>
      <c r="G13" s="79">
        <v>21146000</v>
      </c>
      <c r="H13" s="153"/>
      <c r="I13" s="153"/>
      <c r="J13" t="s">
        <v>184</v>
      </c>
      <c r="K13" s="153">
        <v>1</v>
      </c>
      <c r="L13" s="153">
        <v>339000</v>
      </c>
      <c r="M13" s="188">
        <v>0.19</v>
      </c>
      <c r="N13" s="156">
        <f t="shared" si="1"/>
        <v>1.6031400737728175E-2</v>
      </c>
      <c r="O13" s="189">
        <v>28.8</v>
      </c>
      <c r="P13" s="163">
        <v>7.2</v>
      </c>
      <c r="Q13" s="191">
        <v>79918</v>
      </c>
      <c r="R13" s="1">
        <v>676</v>
      </c>
      <c r="S13" s="78">
        <v>3</v>
      </c>
      <c r="U13" t="s">
        <v>184</v>
      </c>
      <c r="V13" s="78">
        <f t="shared" si="2"/>
        <v>25.925540460555084</v>
      </c>
      <c r="W13" s="156">
        <f t="shared" si="3"/>
        <v>3.5962232610183296E-2</v>
      </c>
      <c r="X13" s="179">
        <f t="shared" si="0"/>
        <v>359622.32610183296</v>
      </c>
      <c r="Y13" s="87"/>
      <c r="AG13" s="96"/>
      <c r="AH13" s="96"/>
    </row>
    <row r="14" spans="1:34" ht="18" customHeight="1">
      <c r="A14" s="162"/>
      <c r="B14" s="153"/>
      <c r="C14" s="153"/>
      <c r="D14" s="153"/>
      <c r="E14" s="153"/>
      <c r="F14" s="153">
        <v>87926082</v>
      </c>
      <c r="G14" s="79">
        <v>7267000</v>
      </c>
      <c r="H14" s="153"/>
      <c r="I14" s="153"/>
      <c r="J14" t="s">
        <v>149</v>
      </c>
      <c r="K14" s="153">
        <v>1</v>
      </c>
      <c r="L14" s="153">
        <v>326000</v>
      </c>
      <c r="M14" s="188">
        <v>0.43</v>
      </c>
      <c r="N14" s="156">
        <f t="shared" si="1"/>
        <v>4.4860327507912481E-2</v>
      </c>
      <c r="O14" s="189">
        <v>53</v>
      </c>
      <c r="P14" s="163"/>
      <c r="Q14" s="191">
        <v>19018</v>
      </c>
      <c r="R14" s="1">
        <v>3977</v>
      </c>
      <c r="S14" s="78">
        <v>3</v>
      </c>
      <c r="U14" t="s">
        <v>149</v>
      </c>
      <c r="V14" s="78">
        <f t="shared" si="2"/>
        <v>26.540715146764988</v>
      </c>
      <c r="W14" s="156">
        <f t="shared" si="3"/>
        <v>3.6815563139397788E-2</v>
      </c>
      <c r="X14" s="179">
        <f t="shared" si="0"/>
        <v>368155.63139397785</v>
      </c>
      <c r="Y14" s="87"/>
      <c r="AG14" s="96"/>
      <c r="AH14" s="96"/>
    </row>
    <row r="15" spans="1:34" ht="18" customHeight="1">
      <c r="A15" s="162"/>
      <c r="B15" s="153"/>
      <c r="C15" s="153"/>
      <c r="D15" s="153"/>
      <c r="E15" s="153"/>
      <c r="F15" s="153">
        <v>18800605</v>
      </c>
      <c r="G15" s="79">
        <v>17265000</v>
      </c>
      <c r="H15" s="153"/>
      <c r="I15" s="153"/>
      <c r="J15" t="s">
        <v>142</v>
      </c>
      <c r="K15" s="153">
        <v>1</v>
      </c>
      <c r="L15" s="153">
        <v>303000</v>
      </c>
      <c r="M15" s="188">
        <v>0.49</v>
      </c>
      <c r="N15" s="156">
        <f t="shared" si="1"/>
        <v>1.7549956559513465E-2</v>
      </c>
      <c r="O15" s="189">
        <v>11.8</v>
      </c>
      <c r="P15" s="163">
        <v>3.5</v>
      </c>
      <c r="Q15" s="191">
        <v>25693</v>
      </c>
      <c r="R15" s="1">
        <v>630</v>
      </c>
      <c r="S15" s="78">
        <v>3</v>
      </c>
      <c r="U15" t="s">
        <v>142</v>
      </c>
      <c r="V15" s="78">
        <f t="shared" si="2"/>
        <v>23.716679536890556</v>
      </c>
      <c r="W15" s="156">
        <f t="shared" si="3"/>
        <v>3.2898243627534053E-2</v>
      </c>
      <c r="X15" s="179">
        <f t="shared" si="0"/>
        <v>328982.43627534056</v>
      </c>
      <c r="Y15" s="87"/>
      <c r="AG15" s="96"/>
      <c r="AH15" s="96"/>
    </row>
    <row r="16" spans="1:34" ht="18" customHeight="1">
      <c r="A16" s="162"/>
      <c r="B16" s="153"/>
      <c r="C16" s="153"/>
      <c r="D16" s="153"/>
      <c r="E16" s="153"/>
      <c r="F16" s="153">
        <v>11589532</v>
      </c>
      <c r="G16" s="79">
        <v>1676000</v>
      </c>
      <c r="H16" s="153"/>
      <c r="I16" s="153"/>
      <c r="J16" t="s">
        <v>96</v>
      </c>
      <c r="K16" s="153">
        <v>1</v>
      </c>
      <c r="L16" s="153">
        <v>269000</v>
      </c>
      <c r="M16" s="188">
        <v>0.1</v>
      </c>
      <c r="N16" s="156">
        <f t="shared" si="1"/>
        <v>0.16050119331742244</v>
      </c>
      <c r="O16" s="189">
        <v>1.887</v>
      </c>
      <c r="P16" s="163"/>
      <c r="Q16" s="191">
        <v>5601</v>
      </c>
      <c r="R16" s="1">
        <v>1852</v>
      </c>
      <c r="S16" s="78">
        <v>3</v>
      </c>
      <c r="U16" t="s">
        <v>96</v>
      </c>
      <c r="V16" s="78">
        <f t="shared" si="2"/>
        <v>25.942177006029301</v>
      </c>
      <c r="W16" s="156">
        <f t="shared" si="3"/>
        <v>3.5985309749851188E-2</v>
      </c>
      <c r="X16" s="179">
        <f t="shared" si="0"/>
        <v>359853.0974985119</v>
      </c>
      <c r="Y16" s="87"/>
      <c r="AG16" s="96"/>
      <c r="AH16" s="96"/>
    </row>
    <row r="17" spans="1:35" ht="18" customHeight="1">
      <c r="A17" s="162"/>
      <c r="B17" s="153"/>
      <c r="C17" s="153"/>
      <c r="D17" s="153"/>
      <c r="E17" s="153"/>
      <c r="F17" s="153">
        <v>21083626</v>
      </c>
      <c r="G17" s="79">
        <v>7670000</v>
      </c>
      <c r="H17" s="153"/>
      <c r="I17" s="153"/>
      <c r="J17" t="s">
        <v>285</v>
      </c>
      <c r="K17" s="153">
        <v>1</v>
      </c>
      <c r="L17" s="153">
        <v>250000</v>
      </c>
      <c r="M17" s="188">
        <v>0.06</v>
      </c>
      <c r="N17" s="156">
        <f t="shared" si="1"/>
        <v>3.259452411994785E-2</v>
      </c>
      <c r="O17" s="189">
        <v>4.05</v>
      </c>
      <c r="P17" s="163"/>
      <c r="Q17" s="191">
        <v>17503</v>
      </c>
      <c r="R17" s="1">
        <v>200</v>
      </c>
      <c r="S17" s="78">
        <v>3</v>
      </c>
      <c r="U17" t="s">
        <v>285</v>
      </c>
      <c r="V17" s="78">
        <f t="shared" si="2"/>
        <v>23.926204657848878</v>
      </c>
      <c r="W17" s="156">
        <f t="shared" si="3"/>
        <v>3.3188883321200006E-2</v>
      </c>
      <c r="X17" s="179">
        <f t="shared" si="0"/>
        <v>331888.83321200009</v>
      </c>
      <c r="Y17" s="87"/>
      <c r="AG17" s="96"/>
      <c r="AH17" s="96"/>
    </row>
    <row r="18" spans="1:35" ht="18" customHeight="1">
      <c r="A18" s="162"/>
      <c r="B18" s="153"/>
      <c r="C18" s="153"/>
      <c r="D18" s="153"/>
      <c r="E18" s="153"/>
      <c r="F18" s="153">
        <v>4897263</v>
      </c>
      <c r="G18" s="79">
        <v>2649000</v>
      </c>
      <c r="H18" s="153"/>
      <c r="I18" s="153"/>
      <c r="J18" t="s">
        <v>146</v>
      </c>
      <c r="K18" s="153">
        <v>1</v>
      </c>
      <c r="L18" s="153">
        <v>246000</v>
      </c>
      <c r="M18" s="188">
        <v>0.02</v>
      </c>
      <c r="N18" s="156">
        <f t="shared" si="1"/>
        <v>9.2865232163080402E-2</v>
      </c>
      <c r="O18" s="189">
        <v>13</v>
      </c>
      <c r="P18" s="163">
        <v>5.2</v>
      </c>
      <c r="Q18" s="191">
        <v>33164</v>
      </c>
      <c r="R18" s="1">
        <v>2678</v>
      </c>
      <c r="S18" s="78">
        <v>1</v>
      </c>
      <c r="U18" t="s">
        <v>146</v>
      </c>
      <c r="V18" s="78">
        <f t="shared" si="2"/>
        <v>22.404335541324578</v>
      </c>
      <c r="W18" s="156">
        <f t="shared" si="3"/>
        <v>3.1077844932088278E-2</v>
      </c>
      <c r="X18" s="179">
        <f t="shared" si="0"/>
        <v>310778.44932088279</v>
      </c>
      <c r="Y18" s="87"/>
      <c r="AG18" s="96"/>
      <c r="AH18" s="96"/>
    </row>
    <row r="19" spans="1:35" ht="18" customHeight="1">
      <c r="A19" s="162" t="s">
        <v>191</v>
      </c>
      <c r="B19" s="153">
        <v>975818</v>
      </c>
      <c r="C19" s="153">
        <v>54816</v>
      </c>
      <c r="D19" s="153"/>
      <c r="E19" s="153"/>
      <c r="F19" s="153">
        <v>47850793</v>
      </c>
      <c r="G19" s="79">
        <v>24035000</v>
      </c>
      <c r="H19" s="153"/>
      <c r="I19" s="153"/>
      <c r="J19" t="s">
        <v>168</v>
      </c>
      <c r="K19" s="153">
        <v>1</v>
      </c>
      <c r="L19" s="153">
        <v>243000</v>
      </c>
      <c r="M19" s="188">
        <v>0.67</v>
      </c>
      <c r="N19" s="156">
        <f t="shared" si="1"/>
        <v>1.0110255876846266E-2</v>
      </c>
      <c r="O19" s="189">
        <v>106</v>
      </c>
      <c r="P19" s="163">
        <v>6.5</v>
      </c>
      <c r="Q19" s="191">
        <v>41563</v>
      </c>
      <c r="R19" s="1">
        <v>1144</v>
      </c>
      <c r="S19" s="78">
        <v>1</v>
      </c>
      <c r="U19" t="s">
        <v>168</v>
      </c>
      <c r="V19" s="78">
        <f t="shared" si="2"/>
        <v>21.921671149289189</v>
      </c>
      <c r="W19" s="156">
        <f t="shared" si="3"/>
        <v>3.040832411089504E-2</v>
      </c>
      <c r="X19" s="179">
        <f t="shared" si="0"/>
        <v>304083.2411089504</v>
      </c>
      <c r="Y19" s="87"/>
      <c r="AG19" s="96"/>
      <c r="AH19" s="96"/>
    </row>
    <row r="20" spans="1:35" ht="18" customHeight="1">
      <c r="A20" s="162"/>
      <c r="B20" s="153"/>
      <c r="C20" s="153"/>
      <c r="D20" s="153"/>
      <c r="E20" s="153"/>
      <c r="F20" s="153">
        <v>9107266</v>
      </c>
      <c r="G20" s="79">
        <v>18651000</v>
      </c>
      <c r="H20" s="153"/>
      <c r="I20" s="153"/>
      <c r="J20" t="s">
        <v>172</v>
      </c>
      <c r="K20" s="153">
        <v>2</v>
      </c>
      <c r="L20" s="153">
        <v>204000</v>
      </c>
      <c r="M20" s="188">
        <v>0.1</v>
      </c>
      <c r="N20" s="156">
        <f t="shared" si="1"/>
        <v>1.0937751327006594E-2</v>
      </c>
      <c r="O20" s="189">
        <v>19.09</v>
      </c>
      <c r="P20" s="163"/>
      <c r="Q20" s="191">
        <v>67761</v>
      </c>
      <c r="R20" s="1">
        <v>1030</v>
      </c>
      <c r="S20" s="78">
        <v>1</v>
      </c>
      <c r="U20" t="s">
        <v>172</v>
      </c>
      <c r="V20" s="78">
        <f t="shared" si="2"/>
        <v>22.925503718347439</v>
      </c>
      <c r="W20" s="156">
        <f t="shared" si="3"/>
        <v>3.1800775713015962E-2</v>
      </c>
      <c r="X20" s="179">
        <f t="shared" si="0"/>
        <v>318007.75713015965</v>
      </c>
      <c r="Y20" s="87"/>
      <c r="AG20" s="96"/>
      <c r="AH20" s="96"/>
    </row>
    <row r="21" spans="1:35" ht="18" customHeight="1">
      <c r="A21" s="162"/>
      <c r="B21" s="153"/>
      <c r="C21" s="153"/>
      <c r="D21" s="153"/>
      <c r="E21" s="153"/>
      <c r="F21" s="153">
        <v>11774642</v>
      </c>
      <c r="G21" s="79">
        <v>25103000</v>
      </c>
      <c r="H21" s="153"/>
      <c r="I21" s="153"/>
      <c r="J21" t="s">
        <v>183</v>
      </c>
      <c r="K21" s="153">
        <v>1</v>
      </c>
      <c r="L21" s="153">
        <v>193000</v>
      </c>
      <c r="M21" s="188">
        <v>0.15</v>
      </c>
      <c r="N21" s="156">
        <f t="shared" si="1"/>
        <v>7.6883241046886829E-3</v>
      </c>
      <c r="O21" s="189">
        <v>28.15</v>
      </c>
      <c r="P21" s="163"/>
      <c r="Q21" s="191">
        <v>65112</v>
      </c>
      <c r="R21" s="1">
        <v>648</v>
      </c>
      <c r="S21" s="78">
        <v>1</v>
      </c>
      <c r="U21" t="s">
        <v>183</v>
      </c>
      <c r="V21" s="78">
        <f t="shared" si="2"/>
        <v>22.290032191944604</v>
      </c>
      <c r="W21" s="156">
        <f t="shared" si="3"/>
        <v>3.0919290720083332E-2</v>
      </c>
      <c r="X21" s="179">
        <f t="shared" si="0"/>
        <v>309192.90720083332</v>
      </c>
      <c r="Y21" s="87"/>
      <c r="AG21" s="96"/>
      <c r="AH21" s="96"/>
    </row>
    <row r="22" spans="1:35" ht="18" customHeight="1">
      <c r="A22" s="162"/>
      <c r="B22" s="153"/>
      <c r="C22" s="153"/>
      <c r="D22" s="153"/>
      <c r="E22" s="153"/>
      <c r="F22" s="153">
        <v>9007798</v>
      </c>
      <c r="G22" s="79">
        <v>15845000</v>
      </c>
      <c r="H22" s="153"/>
      <c r="I22" s="153"/>
      <c r="J22" t="s">
        <v>194</v>
      </c>
      <c r="K22" s="153">
        <v>1</v>
      </c>
      <c r="L22" s="153">
        <v>189000</v>
      </c>
      <c r="M22" s="188">
        <v>0.18</v>
      </c>
      <c r="N22" s="156">
        <f t="shared" si="1"/>
        <v>1.1928053013568949E-2</v>
      </c>
      <c r="O22" s="189">
        <v>26.8</v>
      </c>
      <c r="P22" s="163"/>
      <c r="Q22" s="191">
        <v>126177</v>
      </c>
      <c r="R22" s="1">
        <v>1174</v>
      </c>
      <c r="S22" s="78">
        <v>1</v>
      </c>
      <c r="U22" t="s">
        <v>194</v>
      </c>
      <c r="V22" s="78">
        <f t="shared" si="2"/>
        <v>23.543609232845306</v>
      </c>
      <c r="W22" s="156">
        <f t="shared" si="3"/>
        <v>3.2658171697636969E-2</v>
      </c>
      <c r="X22" s="179">
        <f t="shared" si="0"/>
        <v>326581.71697636967</v>
      </c>
      <c r="Y22" s="87"/>
      <c r="AG22" s="96"/>
      <c r="AH22" s="96"/>
    </row>
    <row r="23" spans="1:35" ht="18" customHeight="1">
      <c r="A23" s="162"/>
      <c r="B23" s="153"/>
      <c r="C23" s="153"/>
      <c r="D23" s="153"/>
      <c r="E23" s="153"/>
      <c r="F23" s="153">
        <v>1476625576</v>
      </c>
      <c r="G23" s="79">
        <v>30885000</v>
      </c>
      <c r="H23" s="153"/>
      <c r="I23" s="153"/>
      <c r="J23" t="s">
        <v>61</v>
      </c>
      <c r="K23" s="153">
        <v>1</v>
      </c>
      <c r="L23" s="153">
        <v>163000</v>
      </c>
      <c r="M23" s="188">
        <v>0.2</v>
      </c>
      <c r="N23" s="156">
        <f t="shared" si="1"/>
        <v>5.2776428687064921E-3</v>
      </c>
      <c r="O23" s="189">
        <v>35</v>
      </c>
      <c r="P23" s="163">
        <v>3.5</v>
      </c>
      <c r="Q23" s="191">
        <v>2813</v>
      </c>
      <c r="R23" s="1">
        <v>498</v>
      </c>
      <c r="S23" s="78">
        <v>1</v>
      </c>
      <c r="U23" t="s">
        <v>61</v>
      </c>
      <c r="V23" s="78">
        <f t="shared" si="2"/>
        <v>18.367658456360935</v>
      </c>
      <c r="W23" s="156">
        <f t="shared" si="3"/>
        <v>2.5478427611453143E-2</v>
      </c>
      <c r="X23" s="179">
        <f t="shared" si="0"/>
        <v>254784.27611453144</v>
      </c>
      <c r="Y23" s="87"/>
      <c r="AG23" s="96"/>
      <c r="AH23" s="96"/>
    </row>
    <row r="24" spans="1:35" ht="18" customHeight="1">
      <c r="A24" s="162"/>
      <c r="B24" s="153"/>
      <c r="C24" s="153"/>
      <c r="D24" s="153"/>
      <c r="E24" s="153"/>
      <c r="F24" s="153">
        <v>5451342</v>
      </c>
      <c r="G24" s="79">
        <v>8575000</v>
      </c>
      <c r="H24" s="153"/>
      <c r="I24" s="153"/>
      <c r="J24" t="s">
        <v>150</v>
      </c>
      <c r="K24" s="153">
        <v>1</v>
      </c>
      <c r="L24" s="153">
        <v>151000</v>
      </c>
      <c r="M24" s="188">
        <v>0.65</v>
      </c>
      <c r="N24" s="156">
        <f t="shared" si="1"/>
        <v>1.760932944606414E-2</v>
      </c>
      <c r="O24" s="189">
        <v>2.8</v>
      </c>
      <c r="P24" s="163"/>
      <c r="Q24" s="191">
        <v>31242</v>
      </c>
      <c r="R24" s="1">
        <v>440</v>
      </c>
      <c r="S24" s="78">
        <v>1</v>
      </c>
      <c r="U24" t="s">
        <v>150</v>
      </c>
      <c r="V24" s="78">
        <f t="shared" si="2"/>
        <v>19.634529050852905</v>
      </c>
      <c r="W24" s="156">
        <f t="shared" si="3"/>
        <v>2.7235748546591939E-2</v>
      </c>
      <c r="X24" s="179">
        <f t="shared" si="0"/>
        <v>272357.48546591937</v>
      </c>
      <c r="Y24" s="87"/>
      <c r="AG24" s="96"/>
      <c r="AH24" s="96"/>
    </row>
    <row r="25" spans="1:35" ht="18" customHeight="1">
      <c r="A25" s="162"/>
      <c r="B25" s="153"/>
      <c r="C25" s="153"/>
      <c r="D25" s="153"/>
      <c r="E25" s="153"/>
      <c r="F25" s="153">
        <v>8937018</v>
      </c>
      <c r="G25" s="79">
        <v>4692000</v>
      </c>
      <c r="H25" s="153"/>
      <c r="I25" s="153"/>
      <c r="J25" t="s">
        <v>126</v>
      </c>
      <c r="K25" s="153">
        <v>2</v>
      </c>
      <c r="L25" s="153">
        <v>80000</v>
      </c>
      <c r="M25" s="188">
        <v>0.5</v>
      </c>
      <c r="N25" s="156">
        <f t="shared" si="1"/>
        <v>1.7050298380221655E-2</v>
      </c>
      <c r="O25" s="189">
        <v>0.5</v>
      </c>
      <c r="P25" s="163"/>
      <c r="Q25" s="191">
        <v>11286</v>
      </c>
      <c r="R25" s="1">
        <v>186</v>
      </c>
      <c r="S25" s="78">
        <v>1</v>
      </c>
      <c r="U25" t="s">
        <v>126</v>
      </c>
      <c r="V25" s="78">
        <f t="shared" si="2"/>
        <v>18.736867242589611</v>
      </c>
      <c r="W25" s="156">
        <f t="shared" si="3"/>
        <v>2.5990570155685941E-2</v>
      </c>
      <c r="X25" s="179">
        <f t="shared" si="0"/>
        <v>259905.70155685942</v>
      </c>
      <c r="Y25" s="87"/>
      <c r="AG25" s="96"/>
      <c r="AH25" s="96"/>
    </row>
    <row r="26" spans="1:35" ht="18" customHeight="1">
      <c r="A26" s="162"/>
      <c r="B26" s="153"/>
      <c r="C26" s="153"/>
      <c r="D26" s="153"/>
      <c r="E26" s="153"/>
      <c r="F26" s="153">
        <v>40467728</v>
      </c>
      <c r="G26" s="79">
        <v>52000000</v>
      </c>
      <c r="H26" s="153"/>
      <c r="I26" s="153"/>
      <c r="J26" t="s">
        <v>177</v>
      </c>
      <c r="K26" s="153">
        <v>2</v>
      </c>
      <c r="L26" s="153">
        <v>0</v>
      </c>
      <c r="M26" s="188">
        <v>0</v>
      </c>
      <c r="N26" s="156">
        <f t="shared" si="1"/>
        <v>0</v>
      </c>
      <c r="O26" s="189">
        <v>43.3</v>
      </c>
      <c r="P26" s="163">
        <v>9</v>
      </c>
      <c r="Q26" s="191">
        <v>60305</v>
      </c>
      <c r="R26" s="1">
        <v>365</v>
      </c>
      <c r="S26" s="78">
        <v>1</v>
      </c>
      <c r="U26" t="s">
        <v>177</v>
      </c>
      <c r="V26" s="78">
        <f t="shared" si="2"/>
        <v>18.786063174457556</v>
      </c>
      <c r="W26" s="156">
        <f t="shared" si="3"/>
        <v>2.6058811569900683E-2</v>
      </c>
      <c r="X26" s="179">
        <f t="shared" si="0"/>
        <v>260588.11569900683</v>
      </c>
      <c r="Y26" s="87"/>
      <c r="AG26" s="96"/>
      <c r="AH26" s="96"/>
    </row>
    <row r="27" spans="1:35" ht="18" customHeight="1">
      <c r="A27" s="162"/>
      <c r="B27" s="153"/>
      <c r="C27" s="153"/>
      <c r="D27" s="153"/>
      <c r="E27" s="153"/>
      <c r="F27" s="153">
        <v>122427731</v>
      </c>
      <c r="G27" s="79">
        <v>13000000</v>
      </c>
      <c r="H27" s="153"/>
      <c r="I27" s="153"/>
      <c r="J27" t="s">
        <v>171</v>
      </c>
      <c r="K27" s="153">
        <v>1</v>
      </c>
      <c r="L27" s="153">
        <v>0</v>
      </c>
      <c r="M27" s="188">
        <v>0</v>
      </c>
      <c r="N27" s="156">
        <f t="shared" si="1"/>
        <v>0</v>
      </c>
      <c r="O27" s="189">
        <v>19.02</v>
      </c>
      <c r="P27" s="163">
        <v>8.5</v>
      </c>
      <c r="Q27" s="191">
        <v>35703</v>
      </c>
      <c r="R27" s="1">
        <v>211</v>
      </c>
      <c r="S27" s="78">
        <v>1</v>
      </c>
      <c r="U27" t="s">
        <v>171</v>
      </c>
      <c r="V27" s="78">
        <f t="shared" si="2"/>
        <v>16.133836705232575</v>
      </c>
      <c r="W27" s="156">
        <f t="shared" si="3"/>
        <v>2.2379814583655722E-2</v>
      </c>
      <c r="X27" s="179">
        <f t="shared" si="0"/>
        <v>223798.14583655723</v>
      </c>
      <c r="Y27" s="87"/>
      <c r="AG27" s="96"/>
      <c r="AH27" s="96"/>
    </row>
    <row r="28" spans="1:35" s="97" customFormat="1" ht="18" customHeight="1">
      <c r="J28" s="180" t="s">
        <v>209</v>
      </c>
      <c r="K28" s="181">
        <f t="shared" ref="K28:S28" si="4">AVERAGE(K3:K27)</f>
        <v>2.88</v>
      </c>
      <c r="L28" s="181">
        <f t="shared" si="4"/>
        <v>539840</v>
      </c>
      <c r="M28" s="181">
        <f t="shared" si="4"/>
        <v>0.23280000000000003</v>
      </c>
      <c r="N28" s="181">
        <f t="shared" si="4"/>
        <v>3.06691084932787E-2</v>
      </c>
      <c r="O28" s="182">
        <f t="shared" si="4"/>
        <v>49.939079999999976</v>
      </c>
      <c r="P28" s="183">
        <f t="shared" si="4"/>
        <v>8.0250000000000004</v>
      </c>
      <c r="Q28" s="192">
        <f t="shared" si="4"/>
        <v>43383.08</v>
      </c>
      <c r="R28" s="192">
        <f t="shared" si="4"/>
        <v>2340</v>
      </c>
      <c r="S28" s="184">
        <f t="shared" si="4"/>
        <v>4.2</v>
      </c>
      <c r="T28" s="17"/>
      <c r="U28" s="17"/>
      <c r="V28" s="17"/>
      <c r="X28" s="179"/>
      <c r="AA28" s="101"/>
      <c r="AB28" s="101"/>
      <c r="AC28" s="101"/>
      <c r="AD28" s="101"/>
      <c r="AE28" s="101"/>
      <c r="AF28" s="101"/>
      <c r="AG28" s="101"/>
      <c r="AH28" s="102"/>
      <c r="AI28" s="101"/>
    </row>
    <row r="29" spans="1:35" ht="18" customHeight="1">
      <c r="J29" s="185" t="s">
        <v>210</v>
      </c>
      <c r="K29" s="174">
        <f t="shared" ref="K29:S29" si="5">STDEV(K3:K27)</f>
        <v>6.8454364360499316</v>
      </c>
      <c r="L29" s="174">
        <f t="shared" si="5"/>
        <v>577820.66710471106</v>
      </c>
      <c r="M29" s="174">
        <f t="shared" si="5"/>
        <v>0.20129828613279344</v>
      </c>
      <c r="N29" s="174">
        <f t="shared" si="5"/>
        <v>4.0428761479489567E-2</v>
      </c>
      <c r="O29" s="173">
        <f t="shared" si="5"/>
        <v>60.764229776461967</v>
      </c>
      <c r="P29" s="175">
        <f t="shared" si="5"/>
        <v>3.4782179345176178</v>
      </c>
      <c r="Q29" s="176">
        <f t="shared" si="5"/>
        <v>29326.00102997338</v>
      </c>
      <c r="R29" s="176">
        <f t="shared" si="5"/>
        <v>4420.5426891578218</v>
      </c>
      <c r="S29" s="186">
        <f t="shared" si="5"/>
        <v>3.5</v>
      </c>
      <c r="V29" s="78"/>
      <c r="AH29" s="103"/>
    </row>
    <row r="30" spans="1:35" s="157" customFormat="1" ht="31" customHeight="1">
      <c r="J30" s="161" t="s">
        <v>281</v>
      </c>
      <c r="K30" s="157" t="s">
        <v>279</v>
      </c>
      <c r="L30" s="158" t="s">
        <v>300</v>
      </c>
      <c r="M30" s="158" t="s">
        <v>300</v>
      </c>
      <c r="N30" s="157" t="s">
        <v>293</v>
      </c>
      <c r="O30" s="157" t="s">
        <v>294</v>
      </c>
      <c r="P30" s="157" t="s">
        <v>280</v>
      </c>
      <c r="Q30" s="157" t="s">
        <v>296</v>
      </c>
      <c r="R30" s="157" t="s">
        <v>299</v>
      </c>
      <c r="S30" s="158" t="s">
        <v>300</v>
      </c>
      <c r="V30" s="159"/>
      <c r="AA30" s="160"/>
      <c r="AB30" s="160"/>
      <c r="AC30" s="160"/>
      <c r="AD30" s="160"/>
      <c r="AE30" s="160"/>
      <c r="AF30" s="160"/>
      <c r="AG30" s="160"/>
      <c r="AH30" s="160"/>
      <c r="AI30" s="160"/>
    </row>
    <row r="31" spans="1:35" ht="45" customHeight="1">
      <c r="J31" s="81" t="s">
        <v>211</v>
      </c>
      <c r="K31" s="172">
        <v>10</v>
      </c>
      <c r="L31" s="172">
        <v>10</v>
      </c>
      <c r="M31" s="172"/>
      <c r="N31" s="172">
        <v>5</v>
      </c>
      <c r="O31" s="172">
        <v>5</v>
      </c>
      <c r="P31" s="172">
        <v>5</v>
      </c>
      <c r="Q31" s="172">
        <v>5</v>
      </c>
      <c r="R31" s="172"/>
      <c r="S31" s="172">
        <v>20</v>
      </c>
      <c r="V31" s="78"/>
    </row>
    <row r="32" spans="1:35">
      <c r="J32" s="164"/>
      <c r="K32" s="78"/>
      <c r="L32" s="78"/>
      <c r="M32" s="78"/>
      <c r="N32" s="78"/>
      <c r="O32" s="78"/>
      <c r="P32" s="78"/>
      <c r="Q32" s="78"/>
      <c r="R32" s="78"/>
      <c r="S32" s="78"/>
      <c r="V32" s="78"/>
    </row>
    <row r="33" spans="2:24">
      <c r="K33" s="78"/>
      <c r="L33" s="78"/>
      <c r="M33" s="78"/>
      <c r="N33" s="78"/>
      <c r="O33" s="78"/>
      <c r="P33" s="78"/>
      <c r="Q33" s="78"/>
      <c r="R33" s="78"/>
      <c r="S33" s="78"/>
      <c r="V33" s="78"/>
    </row>
    <row r="34" spans="2:24">
      <c r="J34" s="165" t="s">
        <v>212</v>
      </c>
      <c r="K34" s="78"/>
      <c r="L34" s="78"/>
      <c r="M34" s="78"/>
      <c r="N34" s="78"/>
      <c r="O34" s="78"/>
      <c r="P34" s="78"/>
      <c r="Q34" s="78"/>
      <c r="R34" s="78"/>
      <c r="S34" s="78"/>
    </row>
    <row r="35" spans="2:24" ht="66.5" customHeight="1">
      <c r="B35" s="107"/>
      <c r="J35" s="81" t="s">
        <v>202</v>
      </c>
      <c r="K35" s="84" t="str">
        <f>K2</f>
        <v>Audience ratio/pop</v>
      </c>
      <c r="L35" s="84"/>
      <c r="M35" s="84"/>
      <c r="N35" s="84" t="str">
        <f>N2</f>
        <v>Tourist Departures to 2025 visitors ratio</v>
      </c>
      <c r="O35" s="84" t="str">
        <f>O2</f>
        <v>Outbound Trip Spends (Billion)</v>
      </c>
      <c r="P35" s="84" t="str">
        <f>P2</f>
        <v>Media Cost Benchmark CPM</v>
      </c>
      <c r="Q35" s="84" t="str">
        <f>Q2</f>
        <v>GDP per capita</v>
      </c>
      <c r="R35" s="84"/>
      <c r="S35" s="84" t="str">
        <f>S2</f>
        <v>Market Tier</v>
      </c>
      <c r="V35" s="153"/>
      <c r="W35" s="86"/>
      <c r="X35" s="153"/>
    </row>
    <row r="36" spans="2:24" ht="19" customHeight="1">
      <c r="B36" s="107"/>
      <c r="J36" t="s">
        <v>139</v>
      </c>
      <c r="K36" s="143">
        <f>_xlfn.NORM.DIST(K3,K$28,K$29,TRUE)</f>
        <v>0.39179813685232495</v>
      </c>
      <c r="L36" s="143">
        <f>_xlfn.NORM.DIST(L3,L$28,L$29,TRUE)</f>
        <v>0.99827804977181456</v>
      </c>
      <c r="M36" s="143">
        <f>_xlfn.NORM.DIST(M3,M$28,M$29,TRUE)</f>
        <v>0.76768772062379753</v>
      </c>
      <c r="N36" s="143">
        <f>_xlfn.NORM.DIST(N3,N$28,N$29,TRUE)</f>
        <v>0.99205531703277805</v>
      </c>
      <c r="O36" s="143">
        <f>_xlfn.NORM.DIST(O3,O$28,O$29,TRUE)</f>
        <v>0.42792058167705732</v>
      </c>
      <c r="P36" s="143">
        <f>1-_xlfn.NORM.DIST(P3,P$28,P$29,TRUE)</f>
        <v>4.2913475938949674E-2</v>
      </c>
      <c r="Q36" s="143">
        <f>_xlfn.NORM.DIST(Q3,Q$28,Q$29,TRUE)</f>
        <v>0.19831745502714271</v>
      </c>
      <c r="R36" s="143">
        <f>_xlfn.NORM.DIST(R3,R$28,R$29,TRUE)</f>
        <v>0.6380870725288299</v>
      </c>
      <c r="S36" s="143">
        <f>_xlfn.NORM.DIST(S3,S$28,S$29,TRUE)</f>
        <v>0.95125470189889605</v>
      </c>
      <c r="V36" s="153"/>
      <c r="W36" s="86"/>
    </row>
    <row r="37" spans="2:24" ht="19" customHeight="1">
      <c r="B37" s="107"/>
      <c r="J37" t="s">
        <v>187</v>
      </c>
      <c r="K37" s="143">
        <f t="shared" ref="K37:M60" si="6">_xlfn.NORM.DIST(K4,K$28,K$29,TRUE)</f>
        <v>0.39179813685232495</v>
      </c>
      <c r="L37" s="143">
        <f t="shared" si="6"/>
        <v>0.9898115746724373</v>
      </c>
      <c r="M37" s="143">
        <f t="shared" si="6"/>
        <v>0.27091766600689238</v>
      </c>
      <c r="N37" s="143">
        <f t="shared" ref="N37:N60" si="7">_xlfn.NORM.DIST(N4,N$28,N$29,TRUE)</f>
        <v>0.31705258476038956</v>
      </c>
      <c r="O37" s="143">
        <f t="shared" ref="O37:O60" si="8">_xlfn.NORM.DIST(O4,O$28,O$29,TRUE)</f>
        <v>0.87655435439442697</v>
      </c>
      <c r="P37" s="143">
        <f t="shared" ref="P37:P60" si="9">1-_xlfn.NORM.DIST(P4,P$28,P$29,TRUE)</f>
        <v>0.28507876566932433</v>
      </c>
      <c r="Q37" s="143">
        <f t="shared" ref="Q37:R60" si="10">_xlfn.NORM.DIST(Q4,Q$28,Q$29,TRUE)</f>
        <v>0.77260607632833056</v>
      </c>
      <c r="R37" s="143">
        <f t="shared" si="10"/>
        <v>0.78968564710424927</v>
      </c>
      <c r="S37" s="143">
        <f t="shared" ref="S37:S60" si="11">_xlfn.NORM.DIST(S4,S$28,S$29,TRUE)</f>
        <v>0.95125470189889605</v>
      </c>
      <c r="V37" s="153"/>
      <c r="W37" s="86"/>
    </row>
    <row r="38" spans="2:24" ht="19" customHeight="1">
      <c r="B38" s="107"/>
      <c r="J38" t="s">
        <v>155</v>
      </c>
      <c r="K38" s="143">
        <f t="shared" si="6"/>
        <v>0.39179813685232495</v>
      </c>
      <c r="L38" s="143">
        <f t="shared" si="6"/>
        <v>0.86604468766479525</v>
      </c>
      <c r="M38" s="143">
        <f t="shared" si="6"/>
        <v>0.12373984031034968</v>
      </c>
      <c r="N38" s="143">
        <f t="shared" si="7"/>
        <v>0.5613361831434589</v>
      </c>
      <c r="O38" s="143">
        <f t="shared" si="8"/>
        <v>0.38296878004021284</v>
      </c>
      <c r="P38" s="143">
        <f t="shared" si="9"/>
        <v>0.66946737750537655</v>
      </c>
      <c r="Q38" s="143">
        <f t="shared" si="10"/>
        <v>0.42465269743001433</v>
      </c>
      <c r="R38" s="143">
        <f t="shared" si="10"/>
        <v>0.99999733933641</v>
      </c>
      <c r="S38" s="143">
        <f t="shared" si="11"/>
        <v>0.95125470189889605</v>
      </c>
      <c r="V38" s="153"/>
      <c r="W38" s="86"/>
    </row>
    <row r="39" spans="2:24" ht="19" customHeight="1">
      <c r="B39" s="107"/>
      <c r="J39" t="s">
        <v>159</v>
      </c>
      <c r="K39" s="143">
        <f t="shared" si="6"/>
        <v>0.39179813685232495</v>
      </c>
      <c r="L39" s="143">
        <f t="shared" si="6"/>
        <v>0.85051887116836333</v>
      </c>
      <c r="M39" s="143">
        <f t="shared" si="6"/>
        <v>0.71979093536591376</v>
      </c>
      <c r="N39" s="143">
        <f t="shared" si="7"/>
        <v>0.45717294548051435</v>
      </c>
      <c r="O39" s="143">
        <f t="shared" si="8"/>
        <v>0.27053368559595975</v>
      </c>
      <c r="P39" s="143">
        <f t="shared" si="9"/>
        <v>0.84457736876847123</v>
      </c>
      <c r="Q39" s="143">
        <f t="shared" si="10"/>
        <v>0.34061011200045593</v>
      </c>
      <c r="R39" s="143">
        <f t="shared" si="10"/>
        <v>0.3808091271866505</v>
      </c>
      <c r="S39" s="143">
        <f t="shared" si="11"/>
        <v>0.95125470189889605</v>
      </c>
      <c r="V39" s="153"/>
      <c r="W39" s="86"/>
    </row>
    <row r="40" spans="2:24" ht="19" customHeight="1">
      <c r="B40" s="107"/>
      <c r="J40" t="s">
        <v>165</v>
      </c>
      <c r="K40" s="143">
        <f t="shared" si="6"/>
        <v>0.39179813685232495</v>
      </c>
      <c r="L40" s="143">
        <f t="shared" si="6"/>
        <v>0.85051887116836333</v>
      </c>
      <c r="M40" s="143">
        <f t="shared" si="6"/>
        <v>0.81064771767646138</v>
      </c>
      <c r="N40" s="143">
        <f t="shared" si="7"/>
        <v>0.39732404715728475</v>
      </c>
      <c r="O40" s="143">
        <f t="shared" si="8"/>
        <v>0.40736313379486078</v>
      </c>
      <c r="P40" s="143">
        <f t="shared" si="9"/>
        <v>0.55998822556473216</v>
      </c>
      <c r="Q40" s="143">
        <f t="shared" si="10"/>
        <v>0.54238959948855792</v>
      </c>
      <c r="R40" s="143">
        <f t="shared" si="10"/>
        <v>0.50875329087541221</v>
      </c>
      <c r="S40" s="143">
        <f t="shared" si="11"/>
        <v>0.95125470189889605</v>
      </c>
      <c r="V40" s="153"/>
      <c r="W40" s="86"/>
    </row>
    <row r="41" spans="2:24" ht="19" customHeight="1">
      <c r="B41" s="107"/>
      <c r="J41" t="s">
        <v>206</v>
      </c>
      <c r="K41" s="143">
        <f t="shared" si="6"/>
        <v>0.39179813685232495</v>
      </c>
      <c r="L41" s="143">
        <f t="shared" si="6"/>
        <v>0.82056397640796996</v>
      </c>
      <c r="M41" s="143">
        <f t="shared" si="6"/>
        <v>0.37752982339970886</v>
      </c>
      <c r="N41" s="143">
        <f t="shared" si="7"/>
        <v>0.31948541076982973</v>
      </c>
      <c r="O41" s="143">
        <f t="shared" si="8"/>
        <v>0.87282152959814985</v>
      </c>
      <c r="P41" s="143">
        <f t="shared" si="9"/>
        <v>0.19618616297509295</v>
      </c>
      <c r="Q41" s="143">
        <f t="shared" si="10"/>
        <v>0.72662474903781726</v>
      </c>
      <c r="R41" s="143">
        <f t="shared" si="10"/>
        <v>0.51299332095644568</v>
      </c>
      <c r="S41" s="143">
        <f t="shared" si="11"/>
        <v>0.6964738759644975</v>
      </c>
      <c r="V41" s="166"/>
      <c r="W41" s="86"/>
    </row>
    <row r="42" spans="2:24" ht="19" customHeight="1">
      <c r="B42" s="107"/>
      <c r="J42" t="s">
        <v>207</v>
      </c>
      <c r="K42" s="143">
        <f t="shared" si="6"/>
        <v>0.90861498861064594</v>
      </c>
      <c r="L42" s="143">
        <f t="shared" si="6"/>
        <v>0.49044542089805437</v>
      </c>
      <c r="M42" s="143">
        <f t="shared" si="6"/>
        <v>0.41581176578493528</v>
      </c>
      <c r="N42" s="143">
        <f t="shared" si="7"/>
        <v>0.29331705542720876</v>
      </c>
      <c r="O42" s="143">
        <f t="shared" si="8"/>
        <v>0.98232009157739375</v>
      </c>
      <c r="P42" s="143">
        <f t="shared" si="9"/>
        <v>1.0928585988392414E-2</v>
      </c>
      <c r="Q42" s="143">
        <f t="shared" si="10"/>
        <v>0.95912936918195946</v>
      </c>
      <c r="R42" s="143">
        <f t="shared" si="10"/>
        <v>0.35675375616260729</v>
      </c>
      <c r="S42" s="143">
        <f t="shared" si="11"/>
        <v>0.6964738759644975</v>
      </c>
      <c r="V42" s="166"/>
      <c r="W42" s="86"/>
    </row>
    <row r="43" spans="2:24" ht="19" customHeight="1">
      <c r="B43" s="107"/>
      <c r="J43" t="s">
        <v>167</v>
      </c>
      <c r="K43" s="143">
        <f t="shared" si="6"/>
        <v>0.99999726747290574</v>
      </c>
      <c r="L43" s="143">
        <f t="shared" si="6"/>
        <v>0.47733861816273204</v>
      </c>
      <c r="M43" s="143">
        <f t="shared" si="6"/>
        <v>0.64932934506079942</v>
      </c>
      <c r="N43" s="143">
        <f t="shared" si="7"/>
        <v>0.30514250821649191</v>
      </c>
      <c r="O43" s="143">
        <f t="shared" si="8"/>
        <v>0.56445797128301811</v>
      </c>
      <c r="P43" s="143">
        <f t="shared" si="9"/>
        <v>0.4456876434317012</v>
      </c>
      <c r="Q43" s="143">
        <f t="shared" si="10"/>
        <v>0.61663784303694702</v>
      </c>
      <c r="R43" s="143">
        <f t="shared" si="10"/>
        <v>0.46017703592499754</v>
      </c>
      <c r="S43" s="143">
        <f t="shared" si="11"/>
        <v>0.6964738759644975</v>
      </c>
      <c r="V43" s="166"/>
    </row>
    <row r="44" spans="2:24" ht="19" customHeight="1">
      <c r="B44" s="107"/>
      <c r="J44" t="s">
        <v>163</v>
      </c>
      <c r="K44" s="143">
        <f t="shared" si="6"/>
        <v>0.39179813685232495</v>
      </c>
      <c r="L44" s="143">
        <f t="shared" si="6"/>
        <v>0.46907235283256021</v>
      </c>
      <c r="M44" s="143">
        <f t="shared" si="6"/>
        <v>0.15685685110816586</v>
      </c>
      <c r="N44" s="143">
        <f t="shared" si="7"/>
        <v>0.80755286996446252</v>
      </c>
      <c r="O44" s="143">
        <f t="shared" si="8"/>
        <v>0.24987330310750544</v>
      </c>
      <c r="P44" s="143">
        <f t="shared" si="9"/>
        <v>0.98947860865672921</v>
      </c>
      <c r="Q44" s="143">
        <f t="shared" si="10"/>
        <v>0.4513103265192101</v>
      </c>
      <c r="R44" s="143">
        <f t="shared" si="10"/>
        <v>0.37719445828807735</v>
      </c>
      <c r="S44" s="143">
        <f t="shared" si="11"/>
        <v>0.6964738759644975</v>
      </c>
      <c r="V44" s="166"/>
    </row>
    <row r="45" spans="2:24" ht="19" customHeight="1">
      <c r="B45" s="107"/>
      <c r="J45" t="s">
        <v>120</v>
      </c>
      <c r="K45" s="143">
        <f t="shared" si="6"/>
        <v>0.39179813685232495</v>
      </c>
      <c r="L45" s="143">
        <f t="shared" si="6"/>
        <v>0.3857280640451855</v>
      </c>
      <c r="M45" s="143">
        <f t="shared" si="6"/>
        <v>0.3047858494225158</v>
      </c>
      <c r="N45" s="143">
        <f t="shared" si="7"/>
        <v>0.24303417398293664</v>
      </c>
      <c r="O45" s="143">
        <f t="shared" si="8"/>
        <v>0.99950334129146112</v>
      </c>
      <c r="P45" s="143">
        <f t="shared" si="9"/>
        <v>0.61588508307141832</v>
      </c>
      <c r="Q45" s="143">
        <f t="shared" si="10"/>
        <v>0.16548959286224152</v>
      </c>
      <c r="R45" s="143">
        <f t="shared" si="10"/>
        <v>0.38400213220610391</v>
      </c>
      <c r="S45" s="143">
        <f t="shared" si="11"/>
        <v>0.6964738759644975</v>
      </c>
      <c r="V45" s="166"/>
    </row>
    <row r="46" spans="2:24" ht="19" customHeight="1">
      <c r="B46" s="86"/>
      <c r="C46" s="107"/>
      <c r="D46" s="107"/>
      <c r="E46" s="107"/>
      <c r="F46" s="107"/>
      <c r="G46" s="107"/>
      <c r="H46" s="107"/>
      <c r="I46" s="107"/>
      <c r="J46" t="s">
        <v>184</v>
      </c>
      <c r="K46" s="143">
        <f t="shared" si="6"/>
        <v>0.39179813685232495</v>
      </c>
      <c r="L46" s="143">
        <f t="shared" si="6"/>
        <v>0.36407710416496569</v>
      </c>
      <c r="M46" s="143">
        <f t="shared" si="6"/>
        <v>0.41581176578493528</v>
      </c>
      <c r="N46" s="143">
        <f t="shared" si="7"/>
        <v>0.35865294663813019</v>
      </c>
      <c r="O46" s="143">
        <f t="shared" si="8"/>
        <v>0.36396255898132113</v>
      </c>
      <c r="P46" s="143">
        <f t="shared" si="9"/>
        <v>0.59374546902980696</v>
      </c>
      <c r="Q46" s="143">
        <f t="shared" si="10"/>
        <v>0.89358476608145965</v>
      </c>
      <c r="R46" s="143">
        <f t="shared" si="10"/>
        <v>0.3533007154298341</v>
      </c>
      <c r="S46" s="143">
        <f t="shared" si="11"/>
        <v>0.36585296733642936</v>
      </c>
    </row>
    <row r="47" spans="2:24" ht="19" customHeight="1">
      <c r="B47" s="86"/>
      <c r="C47" s="107"/>
      <c r="D47" s="107"/>
      <c r="E47" s="107"/>
      <c r="F47" s="107"/>
      <c r="G47" s="107"/>
      <c r="H47" s="107"/>
      <c r="I47" s="107"/>
      <c r="J47" t="s">
        <v>149</v>
      </c>
      <c r="K47" s="143">
        <f t="shared" si="6"/>
        <v>0.39179813685232495</v>
      </c>
      <c r="L47" s="143">
        <f t="shared" si="6"/>
        <v>0.35566135956065198</v>
      </c>
      <c r="M47" s="143">
        <f t="shared" si="6"/>
        <v>0.83636825384762925</v>
      </c>
      <c r="N47" s="143">
        <f t="shared" si="7"/>
        <v>0.63721254078925638</v>
      </c>
      <c r="O47" s="143">
        <f t="shared" si="8"/>
        <v>0.52008770895727663</v>
      </c>
      <c r="P47" s="143">
        <f t="shared" si="9"/>
        <v>0.98947860865672921</v>
      </c>
      <c r="Q47" s="143">
        <f t="shared" si="10"/>
        <v>0.20303330877806433</v>
      </c>
      <c r="R47" s="143">
        <f t="shared" si="10"/>
        <v>0.6444266681384867</v>
      </c>
      <c r="S47" s="143">
        <f t="shared" si="11"/>
        <v>0.36585296733642936</v>
      </c>
    </row>
    <row r="48" spans="2:24" ht="19" customHeight="1">
      <c r="B48" s="86"/>
      <c r="C48" s="107"/>
      <c r="D48" s="107"/>
      <c r="E48" s="107"/>
      <c r="F48" s="107"/>
      <c r="G48" s="107"/>
      <c r="H48" s="107"/>
      <c r="I48" s="107"/>
      <c r="J48" t="s">
        <v>142</v>
      </c>
      <c r="K48" s="143">
        <f t="shared" si="6"/>
        <v>0.39179813685232495</v>
      </c>
      <c r="L48" s="143">
        <f t="shared" si="6"/>
        <v>0.34094516997941854</v>
      </c>
      <c r="M48" s="143">
        <f t="shared" si="6"/>
        <v>0.89932342105240326</v>
      </c>
      <c r="N48" s="143">
        <f t="shared" si="7"/>
        <v>0.3727795848140778</v>
      </c>
      <c r="O48" s="143">
        <f t="shared" si="8"/>
        <v>0.26511440634073269</v>
      </c>
      <c r="P48" s="143">
        <f t="shared" si="9"/>
        <v>0.90336282416730007</v>
      </c>
      <c r="Q48" s="143">
        <f t="shared" si="10"/>
        <v>0.27318060904679642</v>
      </c>
      <c r="R48" s="143">
        <f t="shared" si="10"/>
        <v>0.34944090982090226</v>
      </c>
      <c r="S48" s="143">
        <f t="shared" si="11"/>
        <v>0.36585296733642936</v>
      </c>
    </row>
    <row r="49" spans="2:19" ht="19" customHeight="1">
      <c r="B49" s="86"/>
      <c r="C49" s="107"/>
      <c r="D49" s="107"/>
      <c r="E49" s="107"/>
      <c r="F49" s="107"/>
      <c r="G49" s="107"/>
      <c r="H49" s="107"/>
      <c r="I49" s="107"/>
      <c r="J49" t="s">
        <v>96</v>
      </c>
      <c r="K49" s="143">
        <f t="shared" si="6"/>
        <v>0.39179813685232495</v>
      </c>
      <c r="L49" s="143">
        <f t="shared" si="6"/>
        <v>0.31963248401328914</v>
      </c>
      <c r="M49" s="143">
        <f t="shared" si="6"/>
        <v>0.25471757046447707</v>
      </c>
      <c r="N49" s="143">
        <f t="shared" si="7"/>
        <v>0.99933950258357784</v>
      </c>
      <c r="O49" s="143">
        <f t="shared" si="8"/>
        <v>0.21453166560264694</v>
      </c>
      <c r="P49" s="143">
        <f t="shared" si="9"/>
        <v>0.98947860865672921</v>
      </c>
      <c r="Q49" s="143">
        <f t="shared" si="10"/>
        <v>9.8812513285961093E-2</v>
      </c>
      <c r="R49" s="143">
        <f t="shared" si="10"/>
        <v>0.45604858032496937</v>
      </c>
      <c r="S49" s="143">
        <f t="shared" si="11"/>
        <v>0.36585296733642936</v>
      </c>
    </row>
    <row r="50" spans="2:19" ht="19" customHeight="1">
      <c r="B50" s="86"/>
      <c r="C50" s="107"/>
      <c r="D50" s="107"/>
      <c r="E50" s="107"/>
      <c r="F50" s="107"/>
      <c r="G50" s="107"/>
      <c r="H50" s="107"/>
      <c r="I50" s="107"/>
      <c r="J50" t="s">
        <v>285</v>
      </c>
      <c r="K50" s="143">
        <f t="shared" si="6"/>
        <v>0.39179813685232495</v>
      </c>
      <c r="L50" s="143">
        <f t="shared" si="6"/>
        <v>0.3079713222796685</v>
      </c>
      <c r="M50" s="143">
        <f t="shared" si="6"/>
        <v>0.19532820273467047</v>
      </c>
      <c r="N50" s="143">
        <f t="shared" si="7"/>
        <v>0.51899240544864833</v>
      </c>
      <c r="O50" s="143">
        <f t="shared" si="8"/>
        <v>0.22506482175667539</v>
      </c>
      <c r="P50" s="143">
        <f t="shared" si="9"/>
        <v>0.98947860865672921</v>
      </c>
      <c r="Q50" s="143">
        <f t="shared" si="10"/>
        <v>0.18875430809801796</v>
      </c>
      <c r="R50" s="143">
        <f t="shared" si="10"/>
        <v>0.31415622380939712</v>
      </c>
      <c r="S50" s="143">
        <f t="shared" si="11"/>
        <v>0.36585296733642936</v>
      </c>
    </row>
    <row r="51" spans="2:19" ht="19" customHeight="1">
      <c r="B51" s="86"/>
      <c r="C51" s="107"/>
      <c r="D51" s="107"/>
      <c r="E51" s="107"/>
      <c r="F51" s="107"/>
      <c r="G51" s="107"/>
      <c r="H51" s="107"/>
      <c r="I51" s="107"/>
      <c r="J51" t="s">
        <v>146</v>
      </c>
      <c r="K51" s="143">
        <f t="shared" si="6"/>
        <v>0.39179813685232495</v>
      </c>
      <c r="L51" s="143">
        <f t="shared" si="6"/>
        <v>0.30554033342669595</v>
      </c>
      <c r="M51" s="143">
        <f t="shared" si="6"/>
        <v>0.14522438199117016</v>
      </c>
      <c r="N51" s="143">
        <f t="shared" si="7"/>
        <v>0.93802614128788264</v>
      </c>
      <c r="O51" s="143">
        <f t="shared" si="8"/>
        <v>0.27162414514669175</v>
      </c>
      <c r="P51" s="143">
        <f t="shared" si="9"/>
        <v>0.79166085043501433</v>
      </c>
      <c r="Q51" s="143">
        <f t="shared" si="10"/>
        <v>0.36374556064234131</v>
      </c>
      <c r="R51" s="143">
        <f t="shared" si="10"/>
        <v>0.53047390937557914</v>
      </c>
      <c r="S51" s="143">
        <f t="shared" si="11"/>
        <v>0.18028336754873589</v>
      </c>
    </row>
    <row r="52" spans="2:19" ht="19" customHeight="1">
      <c r="B52" s="86"/>
      <c r="C52" s="107"/>
      <c r="D52" s="107"/>
      <c r="E52" s="107"/>
      <c r="F52" s="107"/>
      <c r="G52" s="107"/>
      <c r="H52" s="107"/>
      <c r="I52" s="107"/>
      <c r="J52" t="s">
        <v>168</v>
      </c>
      <c r="K52" s="143">
        <f t="shared" si="6"/>
        <v>0.39179813685232495</v>
      </c>
      <c r="L52" s="143">
        <f t="shared" si="6"/>
        <v>0.30372269331592683</v>
      </c>
      <c r="M52" s="143">
        <f t="shared" si="6"/>
        <v>0.98506844404525695</v>
      </c>
      <c r="N52" s="143">
        <f t="shared" si="7"/>
        <v>0.30554419512954506</v>
      </c>
      <c r="O52" s="143">
        <f t="shared" si="8"/>
        <v>0.82189147270022378</v>
      </c>
      <c r="P52" s="143">
        <f t="shared" si="9"/>
        <v>0.66946737750537655</v>
      </c>
      <c r="Q52" s="143">
        <f t="shared" si="10"/>
        <v>0.47525605399124571</v>
      </c>
      <c r="R52" s="143">
        <f t="shared" si="10"/>
        <v>0.39336664870244226</v>
      </c>
      <c r="S52" s="143">
        <f t="shared" si="11"/>
        <v>0.18028336754873589</v>
      </c>
    </row>
    <row r="53" spans="2:19" ht="19" customHeight="1">
      <c r="B53" s="86"/>
      <c r="C53" s="107"/>
      <c r="D53" s="107"/>
      <c r="E53" s="107"/>
      <c r="F53" s="107"/>
      <c r="G53" s="107"/>
      <c r="H53" s="107"/>
      <c r="I53" s="107"/>
      <c r="J53" t="s">
        <v>172</v>
      </c>
      <c r="K53" s="143">
        <f t="shared" si="6"/>
        <v>0.44885575944127792</v>
      </c>
      <c r="L53" s="143">
        <f t="shared" si="6"/>
        <v>0.28054663619173015</v>
      </c>
      <c r="M53" s="143">
        <f t="shared" si="6"/>
        <v>0.25471757046447707</v>
      </c>
      <c r="N53" s="143">
        <f t="shared" si="7"/>
        <v>0.31275633573321115</v>
      </c>
      <c r="O53" s="143">
        <f t="shared" si="8"/>
        <v>0.30583718090791984</v>
      </c>
      <c r="P53" s="143">
        <f t="shared" si="9"/>
        <v>0.98947860865672921</v>
      </c>
      <c r="Q53" s="143">
        <f t="shared" si="10"/>
        <v>0.79709035691066799</v>
      </c>
      <c r="R53" s="143">
        <f t="shared" si="10"/>
        <v>0.38348380601144072</v>
      </c>
      <c r="S53" s="143">
        <f t="shared" si="11"/>
        <v>0.18028336754873589</v>
      </c>
    </row>
    <row r="54" spans="2:19" ht="19" customHeight="1">
      <c r="B54" s="86"/>
      <c r="C54" s="107"/>
      <c r="D54" s="107"/>
      <c r="E54" s="107"/>
      <c r="F54" s="107"/>
      <c r="G54" s="107"/>
      <c r="H54" s="107"/>
      <c r="I54" s="107"/>
      <c r="J54" t="s">
        <v>183</v>
      </c>
      <c r="K54" s="143">
        <f t="shared" si="6"/>
        <v>0.39179813685232495</v>
      </c>
      <c r="L54" s="143">
        <f t="shared" si="6"/>
        <v>0.27416800467403646</v>
      </c>
      <c r="M54" s="143">
        <f t="shared" si="6"/>
        <v>0.34041533105467808</v>
      </c>
      <c r="N54" s="143">
        <f t="shared" si="7"/>
        <v>0.28487265831049513</v>
      </c>
      <c r="O54" s="143">
        <f t="shared" si="8"/>
        <v>0.35995316250352039</v>
      </c>
      <c r="P54" s="143">
        <f t="shared" si="9"/>
        <v>0.98947860865672921</v>
      </c>
      <c r="Q54" s="143">
        <f t="shared" si="10"/>
        <v>0.77063625567050997</v>
      </c>
      <c r="R54" s="143">
        <f t="shared" si="10"/>
        <v>0.35094944154306418</v>
      </c>
      <c r="S54" s="143">
        <f t="shared" si="11"/>
        <v>0.18028336754873589</v>
      </c>
    </row>
    <row r="55" spans="2:19" ht="15" customHeight="1">
      <c r="B55" s="86"/>
      <c r="C55" s="107"/>
      <c r="D55" s="107"/>
      <c r="E55" s="107"/>
      <c r="F55" s="107"/>
      <c r="G55" s="107"/>
      <c r="H55" s="107"/>
      <c r="I55" s="107"/>
      <c r="J55" t="s">
        <v>194</v>
      </c>
      <c r="K55" s="143">
        <f t="shared" si="6"/>
        <v>0.39179813685232495</v>
      </c>
      <c r="L55" s="143">
        <f t="shared" si="6"/>
        <v>0.27186639360918818</v>
      </c>
      <c r="M55" s="143">
        <f t="shared" si="6"/>
        <v>0.39654611588713318</v>
      </c>
      <c r="N55" s="143">
        <f t="shared" si="7"/>
        <v>0.32148240589259969</v>
      </c>
      <c r="O55" s="143">
        <f t="shared" si="8"/>
        <v>0.35167545531247757</v>
      </c>
      <c r="P55" s="143">
        <f t="shared" si="9"/>
        <v>0.98947860865672921</v>
      </c>
      <c r="Q55" s="143">
        <f t="shared" si="10"/>
        <v>0.99762284558928538</v>
      </c>
      <c r="R55" s="143">
        <f t="shared" si="10"/>
        <v>0.39597914680862101</v>
      </c>
      <c r="S55" s="143">
        <f t="shared" si="11"/>
        <v>0.18028336754873589</v>
      </c>
    </row>
    <row r="56" spans="2:19" ht="15" customHeight="1">
      <c r="B56" s="86"/>
      <c r="C56" s="107"/>
      <c r="D56" s="107"/>
      <c r="E56" s="107"/>
      <c r="F56" s="107"/>
      <c r="G56" s="107"/>
      <c r="H56" s="107"/>
      <c r="I56" s="107"/>
      <c r="J56" t="s">
        <v>61</v>
      </c>
      <c r="K56" s="143">
        <f t="shared" si="6"/>
        <v>0.39179813685232495</v>
      </c>
      <c r="L56" s="143">
        <f t="shared" si="6"/>
        <v>0.2571442508399302</v>
      </c>
      <c r="M56" s="143">
        <f t="shared" si="6"/>
        <v>0.43528194384193147</v>
      </c>
      <c r="N56" s="143">
        <f t="shared" si="7"/>
        <v>0.26498411872092931</v>
      </c>
      <c r="O56" s="143">
        <f t="shared" si="8"/>
        <v>0.40289793863364748</v>
      </c>
      <c r="P56" s="143">
        <f t="shared" si="9"/>
        <v>0.90336282416730007</v>
      </c>
      <c r="Q56" s="143">
        <f t="shared" si="10"/>
        <v>8.3268564170857012E-2</v>
      </c>
      <c r="R56" s="143">
        <f t="shared" si="10"/>
        <v>0.33845224836006538</v>
      </c>
      <c r="S56" s="143">
        <f t="shared" si="11"/>
        <v>0.18028336754873589</v>
      </c>
    </row>
    <row r="57" spans="2:19" ht="15" customHeight="1">
      <c r="B57" s="86"/>
      <c r="C57" s="107"/>
      <c r="D57" s="107"/>
      <c r="E57" s="107"/>
      <c r="F57" s="107"/>
      <c r="G57" s="107"/>
      <c r="H57" s="107"/>
      <c r="I57" s="107"/>
      <c r="J57" t="s">
        <v>150</v>
      </c>
      <c r="K57" s="143">
        <f t="shared" si="6"/>
        <v>0.39179813685232495</v>
      </c>
      <c r="L57" s="143">
        <f t="shared" si="6"/>
        <v>0.25049198271190487</v>
      </c>
      <c r="M57" s="143">
        <f t="shared" si="6"/>
        <v>0.98089273427225254</v>
      </c>
      <c r="N57" s="143">
        <f t="shared" si="7"/>
        <v>0.37333554718534778</v>
      </c>
      <c r="O57" s="143">
        <f t="shared" si="8"/>
        <v>0.21894233469146893</v>
      </c>
      <c r="P57" s="143">
        <f t="shared" si="9"/>
        <v>0.98947860865672921</v>
      </c>
      <c r="Q57" s="143">
        <f t="shared" si="10"/>
        <v>0.33943561031363206</v>
      </c>
      <c r="R57" s="143">
        <f t="shared" si="10"/>
        <v>0.33366639030264894</v>
      </c>
      <c r="S57" s="143">
        <f t="shared" si="11"/>
        <v>0.18028336754873589</v>
      </c>
    </row>
    <row r="58" spans="2:19" ht="15" customHeight="1">
      <c r="B58" s="86"/>
      <c r="C58" s="107"/>
      <c r="D58" s="107"/>
      <c r="E58" s="107"/>
      <c r="F58" s="107"/>
      <c r="G58" s="107"/>
      <c r="H58" s="107"/>
      <c r="I58" s="107"/>
      <c r="J58" t="s">
        <v>126</v>
      </c>
      <c r="K58" s="143">
        <f t="shared" si="6"/>
        <v>0.44885575944127792</v>
      </c>
      <c r="L58" s="143">
        <f t="shared" si="6"/>
        <v>0.21306895805175943</v>
      </c>
      <c r="M58" s="143">
        <f t="shared" si="6"/>
        <v>0.90780905313277205</v>
      </c>
      <c r="N58" s="143">
        <f t="shared" si="7"/>
        <v>0.36811142964057852</v>
      </c>
      <c r="O58" s="143">
        <f t="shared" si="8"/>
        <v>0.20793092641176975</v>
      </c>
      <c r="P58" s="143">
        <f t="shared" si="9"/>
        <v>0.98947860865672921</v>
      </c>
      <c r="Q58" s="143">
        <f t="shared" si="10"/>
        <v>0.1368695786278262</v>
      </c>
      <c r="R58" s="143">
        <f t="shared" si="10"/>
        <v>0.31303332890123114</v>
      </c>
      <c r="S58" s="143">
        <f t="shared" si="11"/>
        <v>0.18028336754873589</v>
      </c>
    </row>
    <row r="59" spans="2:19" ht="15" customHeight="1">
      <c r="B59" s="86"/>
      <c r="C59" s="107"/>
      <c r="D59" s="107"/>
      <c r="E59" s="107"/>
      <c r="F59" s="107"/>
      <c r="G59" s="107"/>
      <c r="H59" s="107"/>
      <c r="I59" s="107"/>
      <c r="J59" t="s">
        <v>177</v>
      </c>
      <c r="K59" s="143">
        <f t="shared" si="6"/>
        <v>0.44885575944127792</v>
      </c>
      <c r="L59" s="143">
        <f t="shared" si="6"/>
        <v>0.17508254728902561</v>
      </c>
      <c r="M59" s="143">
        <f t="shared" si="6"/>
        <v>0.12373984031034968</v>
      </c>
      <c r="N59" s="143">
        <f t="shared" si="7"/>
        <v>0.22404704615576854</v>
      </c>
      <c r="O59" s="143">
        <f t="shared" si="8"/>
        <v>0.45649826485404671</v>
      </c>
      <c r="P59" s="143">
        <f t="shared" si="9"/>
        <v>0.38961755349761096</v>
      </c>
      <c r="Q59" s="143">
        <f t="shared" si="10"/>
        <v>0.71803968672853413</v>
      </c>
      <c r="R59" s="143">
        <f t="shared" si="10"/>
        <v>0.32751777844333274</v>
      </c>
      <c r="S59" s="143">
        <f t="shared" si="11"/>
        <v>0.18028336754873589</v>
      </c>
    </row>
    <row r="60" spans="2:19" ht="15" customHeight="1">
      <c r="B60" s="86"/>
      <c r="C60" s="107"/>
      <c r="D60" s="107"/>
      <c r="E60" s="107"/>
      <c r="F60" s="107"/>
      <c r="G60" s="107"/>
      <c r="H60" s="107"/>
      <c r="I60" s="107"/>
      <c r="J60" t="s">
        <v>171</v>
      </c>
      <c r="K60" s="143">
        <f t="shared" si="6"/>
        <v>0.39179813685232495</v>
      </c>
      <c r="L60" s="143">
        <f t="shared" si="6"/>
        <v>0.17508254728902561</v>
      </c>
      <c r="M60" s="143">
        <f t="shared" si="6"/>
        <v>0.12373984031034968</v>
      </c>
      <c r="N60" s="143">
        <f t="shared" si="7"/>
        <v>0.22404704615576854</v>
      </c>
      <c r="O60" s="143">
        <f t="shared" si="8"/>
        <v>0.30543328947822368</v>
      </c>
      <c r="P60" s="143">
        <f t="shared" si="9"/>
        <v>0.4456876434317012</v>
      </c>
      <c r="Q60" s="143">
        <f t="shared" si="10"/>
        <v>0.39670452350317675</v>
      </c>
      <c r="R60" s="143">
        <f t="shared" si="10"/>
        <v>0.31503970748643151</v>
      </c>
      <c r="S60" s="143">
        <f t="shared" si="11"/>
        <v>0.18028336754873589</v>
      </c>
    </row>
    <row r="61" spans="2:19" ht="15" customHeight="1">
      <c r="B61" s="86"/>
      <c r="C61" s="107"/>
      <c r="D61" s="107"/>
      <c r="E61" s="107"/>
      <c r="F61" s="107"/>
      <c r="G61" s="107"/>
      <c r="H61" s="107"/>
      <c r="I61" s="107"/>
    </row>
    <row r="62" spans="2:19" ht="15" customHeight="1">
      <c r="B62" s="86"/>
      <c r="C62" s="107"/>
      <c r="D62" s="107"/>
      <c r="E62" s="107"/>
      <c r="F62" s="107"/>
      <c r="G62" s="107"/>
      <c r="H62" s="107"/>
      <c r="I62" s="107"/>
    </row>
    <row r="63" spans="2:19" ht="15" customHeight="1">
      <c r="B63" s="86"/>
      <c r="C63" s="107"/>
      <c r="D63" s="107"/>
      <c r="E63" s="107"/>
      <c r="F63" s="107"/>
      <c r="G63" s="107"/>
      <c r="H63" s="107"/>
      <c r="I63" s="107"/>
    </row>
    <row r="64" spans="2:19" ht="15" customHeight="1">
      <c r="B64" s="86"/>
      <c r="C64" s="107"/>
      <c r="D64" s="107"/>
      <c r="E64" s="107"/>
      <c r="F64" s="107"/>
      <c r="G64" s="107"/>
      <c r="H64" s="107"/>
      <c r="I64" s="107"/>
    </row>
    <row r="65" spans="2:22" ht="15" customHeight="1">
      <c r="B65" s="86"/>
      <c r="C65" s="107"/>
      <c r="D65" s="107"/>
      <c r="E65" s="107"/>
      <c r="F65" s="107"/>
      <c r="G65" s="107"/>
      <c r="H65" s="107"/>
      <c r="I65" s="107"/>
    </row>
    <row r="66" spans="2:22" ht="15" customHeight="1">
      <c r="B66" s="86"/>
      <c r="C66" s="107"/>
      <c r="D66" s="107"/>
      <c r="E66" s="107"/>
      <c r="F66" s="107"/>
      <c r="G66" s="107"/>
      <c r="H66" s="107"/>
      <c r="I66" s="107"/>
    </row>
    <row r="67" spans="2:22" ht="15" customHeight="1">
      <c r="B67" s="86"/>
      <c r="C67" s="107"/>
      <c r="D67" s="107"/>
      <c r="E67" s="107"/>
      <c r="F67" s="107"/>
      <c r="G67" s="107"/>
      <c r="H67" s="107"/>
      <c r="I67" s="107"/>
    </row>
    <row r="68" spans="2:22" ht="15" customHeight="1">
      <c r="B68" s="86"/>
      <c r="C68" s="107"/>
      <c r="D68" s="107"/>
      <c r="E68" s="107"/>
      <c r="F68" s="107"/>
      <c r="G68" s="107"/>
      <c r="H68" s="107"/>
      <c r="I68" s="107"/>
    </row>
    <row r="69" spans="2:22" ht="15" customHeight="1">
      <c r="C69" s="107"/>
      <c r="D69" s="107"/>
      <c r="E69" s="107"/>
      <c r="F69" s="107"/>
      <c r="G69" s="107"/>
      <c r="H69" s="107"/>
      <c r="I69" s="107"/>
    </row>
    <row r="70" spans="2:22" ht="15" customHeight="1">
      <c r="C70" s="107"/>
      <c r="D70" s="107"/>
      <c r="E70" s="107"/>
      <c r="F70" s="107"/>
      <c r="G70" s="107"/>
      <c r="H70" s="107"/>
      <c r="I70" s="107"/>
      <c r="J70" s="167"/>
    </row>
    <row r="71" spans="2:22" ht="15" customHeight="1">
      <c r="C71" s="107"/>
      <c r="D71" s="107"/>
      <c r="E71" s="107"/>
      <c r="F71" s="107"/>
      <c r="G71" s="107"/>
      <c r="H71" s="107"/>
      <c r="I71" s="107"/>
    </row>
    <row r="72" spans="2:22" ht="15" customHeight="1">
      <c r="C72" s="107"/>
      <c r="D72" s="107"/>
      <c r="E72" s="107"/>
      <c r="F72" s="107"/>
      <c r="G72" s="107"/>
      <c r="H72" s="107"/>
      <c r="I72" s="107"/>
      <c r="J72" s="167"/>
    </row>
    <row r="73" spans="2:22" ht="15" customHeight="1">
      <c r="C73" s="107"/>
      <c r="D73" s="107"/>
      <c r="E73" s="107"/>
      <c r="F73" s="107"/>
      <c r="G73" s="107"/>
      <c r="H73" s="107"/>
      <c r="I73" s="107"/>
    </row>
    <row r="74" spans="2:22" ht="15" customHeight="1">
      <c r="C74" s="107"/>
      <c r="D74" s="107"/>
      <c r="E74" s="107"/>
      <c r="F74" s="107"/>
      <c r="G74" s="107"/>
      <c r="H74" s="107"/>
      <c r="I74" s="107"/>
      <c r="J74" s="167"/>
      <c r="T74" s="168"/>
      <c r="U74" s="168"/>
      <c r="V74" s="168"/>
    </row>
    <row r="75" spans="2:22" ht="15" customHeight="1"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69"/>
      <c r="T75" s="168"/>
      <c r="U75" s="168"/>
      <c r="V75" s="168"/>
    </row>
    <row r="76" spans="2:22" ht="15" customHeight="1"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69"/>
      <c r="T76" s="168"/>
      <c r="U76" s="168"/>
      <c r="V76" s="168"/>
    </row>
    <row r="77" spans="2:22" ht="15" customHeight="1">
      <c r="C77" s="107"/>
      <c r="D77" s="107"/>
      <c r="E77" s="107"/>
      <c r="F77" s="107"/>
      <c r="G77" s="107"/>
      <c r="H77" s="107"/>
      <c r="I77" s="107"/>
      <c r="J77" s="110"/>
      <c r="K77" s="107"/>
      <c r="L77" s="107"/>
      <c r="M77" s="107"/>
      <c r="N77" s="107"/>
      <c r="O77" s="107"/>
      <c r="P77" s="107"/>
      <c r="Q77" s="107"/>
      <c r="R77" s="107"/>
      <c r="S77" s="169"/>
      <c r="T77" s="168"/>
      <c r="U77" s="168"/>
      <c r="V77" s="168"/>
    </row>
    <row r="78" spans="2:22" ht="15" customHeight="1"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10"/>
      <c r="R78" s="110"/>
      <c r="S78" s="169"/>
      <c r="T78" s="168"/>
      <c r="U78" s="168"/>
      <c r="V78" s="168"/>
    </row>
    <row r="79" spans="2:22" ht="15" customHeight="1"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69"/>
      <c r="T79" s="168"/>
      <c r="U79" s="168"/>
      <c r="V79" s="168"/>
    </row>
    <row r="80" spans="2:22" ht="15" customHeight="1"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69"/>
      <c r="T80" s="168"/>
      <c r="U80" s="168"/>
      <c r="V80" s="168"/>
    </row>
    <row r="81" spans="3:22" ht="15" customHeight="1"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69"/>
      <c r="T81" s="168"/>
      <c r="U81" s="168"/>
      <c r="V81" s="168"/>
    </row>
    <row r="82" spans="3:22" ht="15" customHeight="1"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69"/>
      <c r="T82" s="168"/>
      <c r="U82" s="168"/>
      <c r="V82" s="168"/>
    </row>
    <row r="83" spans="3:22" ht="15" customHeight="1">
      <c r="C83" s="107"/>
      <c r="D83" s="107"/>
      <c r="E83" s="107"/>
      <c r="F83" s="107"/>
      <c r="G83" s="107"/>
      <c r="H83" s="107"/>
      <c r="I83" s="107"/>
      <c r="J83" s="108"/>
      <c r="K83" s="107"/>
      <c r="L83" s="107"/>
      <c r="M83" s="107"/>
      <c r="N83" s="107"/>
      <c r="O83" s="107"/>
      <c r="P83" s="107"/>
      <c r="Q83" s="107"/>
      <c r="R83" s="107"/>
      <c r="S83" s="169"/>
      <c r="T83" s="168"/>
      <c r="U83" s="168"/>
      <c r="V83" s="168"/>
    </row>
    <row r="84" spans="3:22" ht="15" customHeight="1">
      <c r="C84" s="107"/>
      <c r="D84" s="107"/>
      <c r="E84" s="107"/>
      <c r="F84" s="107"/>
      <c r="G84" s="107"/>
      <c r="H84" s="107"/>
      <c r="I84" s="107"/>
      <c r="J84" s="108"/>
      <c r="K84" s="107"/>
      <c r="L84" s="107"/>
      <c r="M84" s="107"/>
      <c r="N84" s="107"/>
      <c r="O84" s="107"/>
      <c r="P84" s="107"/>
      <c r="Q84" s="107"/>
      <c r="R84" s="107"/>
      <c r="S84" s="169"/>
      <c r="T84" s="168"/>
      <c r="U84" s="168"/>
      <c r="V84" s="168"/>
    </row>
    <row r="85" spans="3:22" ht="15" customHeight="1">
      <c r="C85" s="107"/>
      <c r="D85" s="107"/>
      <c r="E85" s="107"/>
      <c r="F85" s="107"/>
      <c r="G85" s="107"/>
      <c r="H85" s="107"/>
      <c r="I85" s="107"/>
      <c r="J85" s="108"/>
      <c r="K85" s="107"/>
      <c r="L85" s="107"/>
      <c r="M85" s="107"/>
      <c r="N85" s="107"/>
      <c r="O85" s="107"/>
      <c r="P85" s="107"/>
      <c r="Q85" s="107"/>
      <c r="R85" s="107"/>
      <c r="S85" s="169"/>
      <c r="T85" s="168"/>
      <c r="U85" s="168"/>
      <c r="V85" s="168"/>
    </row>
    <row r="86" spans="3:22" ht="15" customHeight="1">
      <c r="C86" s="107"/>
      <c r="D86" s="107"/>
      <c r="E86" s="107"/>
      <c r="F86" s="107"/>
      <c r="G86" s="107"/>
      <c r="H86" s="107"/>
      <c r="I86" s="107"/>
      <c r="J86" s="108"/>
      <c r="K86" s="107"/>
      <c r="L86" s="107"/>
      <c r="M86" s="107"/>
      <c r="N86" s="107"/>
      <c r="O86" s="107"/>
      <c r="P86" s="107"/>
      <c r="Q86" s="107"/>
      <c r="R86" s="107"/>
      <c r="S86" s="169"/>
      <c r="T86" s="168"/>
      <c r="U86" s="168"/>
      <c r="V86" s="168"/>
    </row>
    <row r="87" spans="3:22" ht="15" customHeight="1">
      <c r="C87" s="107"/>
      <c r="D87" s="107"/>
      <c r="E87" s="107"/>
      <c r="F87" s="107"/>
      <c r="G87" s="107"/>
      <c r="H87" s="107"/>
      <c r="I87" s="107"/>
      <c r="J87" s="108"/>
      <c r="K87" s="107"/>
      <c r="L87" s="107"/>
      <c r="M87" s="107"/>
      <c r="N87" s="107"/>
      <c r="O87" s="107"/>
      <c r="P87" s="107"/>
      <c r="Q87" s="107"/>
      <c r="R87" s="107"/>
      <c r="S87" s="169"/>
      <c r="T87" s="168"/>
      <c r="U87" s="168"/>
      <c r="V87" s="168"/>
    </row>
    <row r="88" spans="3:22" ht="15" customHeight="1">
      <c r="C88" s="107"/>
      <c r="D88" s="107"/>
      <c r="E88" s="107"/>
      <c r="F88" s="107"/>
      <c r="G88" s="107"/>
      <c r="H88" s="107"/>
      <c r="I88" s="107"/>
      <c r="J88" s="108"/>
      <c r="K88" s="107"/>
      <c r="L88" s="107"/>
      <c r="M88" s="107"/>
      <c r="N88" s="107"/>
      <c r="O88" s="107"/>
      <c r="P88" s="107"/>
      <c r="Q88" s="107"/>
      <c r="R88" s="107"/>
      <c r="S88" s="169"/>
      <c r="T88" s="168"/>
      <c r="U88" s="168"/>
      <c r="V88" s="168"/>
    </row>
    <row r="89" spans="3:22" ht="15" customHeight="1">
      <c r="C89" s="107"/>
      <c r="D89" s="107"/>
      <c r="E89" s="107"/>
      <c r="F89" s="107"/>
      <c r="G89" s="107"/>
      <c r="H89" s="107"/>
      <c r="I89" s="107"/>
      <c r="J89" s="108"/>
      <c r="K89" s="107"/>
      <c r="L89" s="107"/>
      <c r="M89" s="107"/>
      <c r="N89" s="107"/>
      <c r="O89" s="107"/>
      <c r="P89" s="107"/>
      <c r="Q89" s="108"/>
      <c r="R89" s="108"/>
      <c r="S89" s="169"/>
      <c r="T89" s="168"/>
      <c r="U89" s="168"/>
      <c r="V89" s="168"/>
    </row>
    <row r="90" spans="3:22" ht="15" customHeight="1">
      <c r="C90" s="107"/>
      <c r="D90" s="107"/>
      <c r="E90" s="107"/>
      <c r="F90" s="107"/>
      <c r="G90" s="107"/>
      <c r="H90" s="107"/>
      <c r="I90" s="107"/>
      <c r="J90" s="108"/>
      <c r="K90" s="107"/>
      <c r="L90" s="107"/>
      <c r="M90" s="107"/>
      <c r="N90" s="107"/>
      <c r="O90" s="107"/>
      <c r="P90" s="107"/>
      <c r="Q90" s="108"/>
      <c r="R90" s="108"/>
      <c r="S90" s="169"/>
      <c r="T90" s="168"/>
      <c r="U90" s="168"/>
      <c r="V90" s="168"/>
    </row>
    <row r="91" spans="3:22" ht="15" customHeight="1">
      <c r="C91" s="107"/>
      <c r="D91" s="107"/>
      <c r="E91" s="107"/>
      <c r="F91" s="107"/>
      <c r="G91" s="107"/>
      <c r="H91" s="107"/>
      <c r="I91" s="107"/>
      <c r="J91" s="108"/>
      <c r="K91" s="107"/>
      <c r="L91" s="107"/>
      <c r="M91" s="107"/>
      <c r="N91" s="107"/>
      <c r="O91" s="107"/>
      <c r="P91" s="107"/>
      <c r="Q91" s="108"/>
      <c r="R91" s="108"/>
      <c r="S91" s="169"/>
      <c r="T91" s="168"/>
      <c r="U91" s="168"/>
      <c r="V91" s="168"/>
    </row>
    <row r="92" spans="3:22" ht="15" customHeight="1">
      <c r="C92" s="107"/>
      <c r="D92" s="107"/>
      <c r="E92" s="107"/>
      <c r="F92" s="107"/>
      <c r="G92" s="107"/>
      <c r="H92" s="107"/>
      <c r="I92" s="107"/>
      <c r="J92" s="108"/>
      <c r="K92" s="107"/>
      <c r="L92" s="107"/>
      <c r="M92" s="107"/>
      <c r="N92" s="107"/>
      <c r="O92" s="107"/>
      <c r="P92" s="107"/>
      <c r="Q92" s="108"/>
      <c r="R92" s="108"/>
      <c r="S92" s="169"/>
      <c r="T92" s="168"/>
      <c r="U92" s="168"/>
      <c r="V92" s="168"/>
    </row>
    <row r="93" spans="3:22" ht="15" customHeight="1">
      <c r="C93" s="107"/>
      <c r="D93" s="107"/>
      <c r="E93" s="107"/>
      <c r="F93" s="107"/>
      <c r="G93" s="107"/>
      <c r="H93" s="107"/>
      <c r="I93" s="107"/>
      <c r="J93" s="108"/>
      <c r="K93" s="107"/>
      <c r="L93" s="107"/>
      <c r="M93" s="107"/>
      <c r="N93" s="107"/>
      <c r="O93" s="107"/>
      <c r="P93" s="107"/>
      <c r="Q93" s="107"/>
      <c r="R93" s="107"/>
      <c r="S93" s="169"/>
      <c r="T93" s="168"/>
      <c r="U93" s="168"/>
      <c r="V93" s="168"/>
    </row>
    <row r="94" spans="3:22" ht="15" customHeight="1">
      <c r="C94" s="107"/>
      <c r="D94" s="107"/>
      <c r="E94" s="107"/>
      <c r="F94" s="107"/>
      <c r="G94" s="107"/>
      <c r="H94" s="107"/>
      <c r="I94" s="107"/>
      <c r="J94" s="108"/>
      <c r="K94" s="107"/>
      <c r="L94" s="107"/>
      <c r="M94" s="107"/>
      <c r="N94" s="107"/>
      <c r="O94" s="107"/>
      <c r="P94" s="107"/>
      <c r="Q94" s="108"/>
      <c r="R94" s="108"/>
      <c r="S94" s="169"/>
      <c r="T94" s="168"/>
      <c r="U94" s="168"/>
      <c r="V94" s="168"/>
    </row>
    <row r="95" spans="3:22" ht="15" customHeight="1">
      <c r="C95" s="107"/>
      <c r="D95" s="107"/>
      <c r="E95" s="107"/>
      <c r="F95" s="107"/>
      <c r="G95" s="107"/>
      <c r="H95" s="107"/>
      <c r="I95" s="107"/>
      <c r="J95" s="108"/>
      <c r="K95" s="107"/>
      <c r="L95" s="107"/>
      <c r="M95" s="107"/>
      <c r="N95" s="107"/>
      <c r="O95" s="107"/>
      <c r="P95" s="107"/>
      <c r="Q95" s="108"/>
      <c r="R95" s="108"/>
      <c r="S95" s="169"/>
      <c r="T95" s="168"/>
      <c r="U95" s="168"/>
      <c r="V95" s="168"/>
    </row>
    <row r="96" spans="3:22" ht="15" customHeight="1">
      <c r="C96" s="107"/>
      <c r="D96" s="107"/>
      <c r="E96" s="107"/>
      <c r="F96" s="107"/>
      <c r="G96" s="107"/>
      <c r="H96" s="107"/>
      <c r="I96" s="107"/>
      <c r="J96" s="108"/>
      <c r="K96" s="107"/>
      <c r="L96" s="107"/>
      <c r="M96" s="107"/>
      <c r="N96" s="107"/>
      <c r="O96" s="107"/>
      <c r="P96" s="107"/>
      <c r="Q96" s="108"/>
      <c r="R96" s="108"/>
      <c r="S96" s="169"/>
      <c r="T96" s="168"/>
      <c r="U96" s="168"/>
      <c r="V96" s="168"/>
    </row>
    <row r="97" spans="3:22" ht="15" customHeight="1"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8"/>
      <c r="R97" s="108"/>
      <c r="S97" s="169"/>
      <c r="T97" s="168"/>
      <c r="U97" s="168"/>
      <c r="V97" s="168"/>
    </row>
    <row r="98" spans="3:22" ht="15" customHeight="1"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8"/>
      <c r="R98" s="108"/>
      <c r="S98" s="169"/>
      <c r="T98" s="168"/>
      <c r="U98" s="168"/>
      <c r="V98" s="168"/>
    </row>
    <row r="99" spans="3:22" ht="15" customHeight="1"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8"/>
      <c r="R99" s="108"/>
      <c r="S99" s="169"/>
      <c r="T99" s="168"/>
      <c r="U99" s="168"/>
      <c r="V99" s="168"/>
    </row>
    <row r="100" spans="3:22" ht="15" customHeight="1"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8"/>
      <c r="R100" s="108"/>
      <c r="S100" s="169"/>
      <c r="T100" s="168"/>
      <c r="U100" s="168"/>
      <c r="V100" s="168"/>
    </row>
    <row r="101" spans="3:22" ht="15" customHeight="1"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8"/>
      <c r="R101" s="108"/>
      <c r="S101" s="169"/>
      <c r="T101" s="168"/>
      <c r="U101" s="168"/>
      <c r="V101" s="168"/>
    </row>
    <row r="102" spans="3:22" ht="15" customHeight="1"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8"/>
      <c r="R102" s="108"/>
      <c r="S102" s="107"/>
    </row>
    <row r="103" spans="3:22" ht="15" customHeight="1"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</row>
    <row r="104" spans="3:22" ht="15" customHeight="1"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8"/>
      <c r="R104" s="108"/>
      <c r="S104" s="107"/>
    </row>
    <row r="105" spans="3:22" ht="15" customHeight="1"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</row>
    <row r="106" spans="3:22" ht="15" customHeight="1"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70"/>
    </row>
    <row r="107" spans="3:22" ht="15" customHeight="1"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70"/>
    </row>
    <row r="108" spans="3:22" ht="15" customHeight="1"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70"/>
    </row>
    <row r="109" spans="3:22" ht="15" customHeight="1"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70"/>
    </row>
    <row r="110" spans="3:22" ht="15" customHeight="1"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70"/>
    </row>
    <row r="111" spans="3:22" ht="15" customHeight="1"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70"/>
    </row>
    <row r="112" spans="3:22" ht="15" customHeight="1"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70"/>
    </row>
    <row r="113" spans="3:19" ht="15" customHeight="1"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70"/>
    </row>
    <row r="114" spans="3:19" ht="15" customHeight="1"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70"/>
    </row>
    <row r="115" spans="3:19" ht="15" customHeight="1"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70"/>
    </row>
    <row r="116" spans="3:19" ht="15" customHeight="1"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70"/>
    </row>
    <row r="117" spans="3:19" ht="15" customHeight="1"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70"/>
    </row>
    <row r="118" spans="3:19" ht="15" customHeight="1"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70"/>
    </row>
    <row r="119" spans="3:19" ht="15" customHeight="1"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70"/>
    </row>
    <row r="120" spans="3:19" ht="15" customHeight="1"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70"/>
    </row>
    <row r="121" spans="3:19" ht="15" customHeight="1"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70"/>
    </row>
    <row r="122" spans="3:19" ht="15" customHeight="1"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70"/>
    </row>
    <row r="123" spans="3:19" ht="15" customHeight="1"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70"/>
    </row>
    <row r="124" spans="3:19" ht="15" customHeight="1"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70"/>
    </row>
    <row r="125" spans="3:19" ht="15" customHeight="1"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70"/>
    </row>
    <row r="126" spans="3:19" ht="15" customHeight="1"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70"/>
    </row>
    <row r="127" spans="3:19" ht="15" customHeight="1"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70"/>
    </row>
    <row r="128" spans="3:19" ht="15" customHeight="1"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70"/>
    </row>
    <row r="129" spans="3:19" ht="15" customHeight="1"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70"/>
    </row>
    <row r="130" spans="3:19" ht="15" customHeight="1"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70"/>
    </row>
    <row r="131" spans="3:19" ht="15" customHeight="1"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70"/>
    </row>
    <row r="132" spans="3:19" ht="15" customHeight="1"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</row>
    <row r="133" spans="3:19" ht="15" customHeight="1"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</row>
    <row r="134" spans="3:19" ht="15" customHeight="1"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</row>
    <row r="135" spans="3:19" ht="15" customHeight="1"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70"/>
    </row>
    <row r="136" spans="3:19" ht="15" customHeight="1"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70"/>
    </row>
    <row r="137" spans="3:19" ht="15" customHeight="1"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70"/>
    </row>
    <row r="138" spans="3:19" ht="15" customHeight="1"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70"/>
    </row>
    <row r="139" spans="3:19" ht="15" customHeight="1">
      <c r="S139" s="171"/>
    </row>
    <row r="140" spans="3:19" ht="15" customHeight="1">
      <c r="S140" s="171"/>
    </row>
    <row r="141" spans="3:19" ht="15" customHeight="1">
      <c r="S141" s="171"/>
    </row>
    <row r="142" spans="3:19" ht="15" customHeight="1">
      <c r="S142" s="171"/>
    </row>
    <row r="143" spans="3:19" ht="15" customHeight="1">
      <c r="S143" s="171"/>
    </row>
    <row r="144" spans="3:19" ht="15" customHeight="1">
      <c r="S144" s="171"/>
    </row>
    <row r="145" spans="19:19" ht="15" customHeight="1">
      <c r="S145" s="171"/>
    </row>
    <row r="146" spans="19:19" ht="15" customHeight="1">
      <c r="S146" s="171"/>
    </row>
    <row r="147" spans="19:19" ht="15" customHeight="1">
      <c r="S147" s="171"/>
    </row>
    <row r="148" spans="19:19" ht="15" customHeight="1">
      <c r="S148" s="171"/>
    </row>
    <row r="149" spans="19:19" ht="15" customHeight="1">
      <c r="S149" s="171"/>
    </row>
    <row r="150" spans="19:19" ht="15" customHeight="1">
      <c r="S150" s="171"/>
    </row>
    <row r="151" spans="19:19" ht="15" customHeight="1">
      <c r="S151" s="171"/>
    </row>
    <row r="152" spans="19:19" ht="15" customHeight="1">
      <c r="S152" s="171"/>
    </row>
    <row r="153" spans="19:19" ht="15" customHeight="1">
      <c r="S153" s="171"/>
    </row>
    <row r="154" spans="19:19" ht="15" customHeight="1">
      <c r="S154" s="171"/>
    </row>
    <row r="155" spans="19:19" ht="15" customHeight="1">
      <c r="S155" s="171"/>
    </row>
    <row r="156" spans="19:19" ht="15" customHeight="1">
      <c r="S156" s="171"/>
    </row>
    <row r="157" spans="19:19" ht="15" customHeight="1">
      <c r="S157" s="171"/>
    </row>
    <row r="158" spans="19:19" ht="15" customHeight="1">
      <c r="S158" s="171"/>
    </row>
    <row r="159" spans="19:19" ht="15" customHeight="1">
      <c r="S159" s="171"/>
    </row>
    <row r="160" spans="19:19" ht="15" customHeight="1">
      <c r="S160" s="171"/>
    </row>
  </sheetData>
  <conditionalFormatting sqref="K36:S60">
    <cfRule type="colorScale" priority="95">
      <colorScale>
        <cfvo type="min"/>
        <cfvo type="percentile" val="50"/>
        <cfvo type="max"/>
        <color theme="9" tint="0.79998168889431442"/>
        <color theme="9" tint="0.39997558519241921"/>
        <color rgb="FF63BE7B"/>
      </colorScale>
    </cfRule>
  </conditionalFormatting>
  <conditionalFormatting sqref="S3:S27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{66DF9C30-5542-8940-B7D2-D004282DFA3B}</x14:id>
        </ext>
      </extLst>
    </cfRule>
  </conditionalFormatting>
  <conditionalFormatting sqref="V3:V27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W27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22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DF9C30-5542-8940-B7D2-D004282DFA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3330-8CCA-471F-9672-4996961A4C42}">
  <dimension ref="A1:E76"/>
  <sheetViews>
    <sheetView workbookViewId="0">
      <selection activeCell="E76" sqref="E76"/>
    </sheetView>
  </sheetViews>
  <sheetFormatPr baseColWidth="10" defaultColWidth="8.83203125" defaultRowHeight="15"/>
  <cols>
    <col min="1" max="1" width="18.5" bestFit="1" customWidth="1"/>
    <col min="2" max="2" width="27.83203125" style="1" bestFit="1" customWidth="1"/>
  </cols>
  <sheetData>
    <row r="1" spans="1:2">
      <c r="A1" t="s">
        <v>234</v>
      </c>
      <c r="B1" s="1" t="s">
        <v>235</v>
      </c>
    </row>
    <row r="2" spans="1:2">
      <c r="A2" t="s">
        <v>102</v>
      </c>
      <c r="B2" s="1">
        <v>2865000</v>
      </c>
    </row>
    <row r="3" spans="1:2">
      <c r="A3" t="s">
        <v>147</v>
      </c>
      <c r="B3" s="1">
        <v>5142000</v>
      </c>
    </row>
    <row r="4" spans="1:2">
      <c r="A4" t="s">
        <v>119</v>
      </c>
      <c r="B4" s="1">
        <v>1139000</v>
      </c>
    </row>
    <row r="5" spans="1:2">
      <c r="A5" t="s">
        <v>172</v>
      </c>
      <c r="B5" s="1">
        <v>11871000</v>
      </c>
    </row>
    <row r="6" spans="1:2">
      <c r="A6" t="s">
        <v>105</v>
      </c>
      <c r="B6" s="1">
        <v>1345000</v>
      </c>
    </row>
    <row r="7" spans="1:2">
      <c r="A7" t="s">
        <v>126</v>
      </c>
      <c r="B7" s="1">
        <v>344000</v>
      </c>
    </row>
    <row r="8" spans="1:2">
      <c r="A8" t="s">
        <v>183</v>
      </c>
      <c r="B8" s="1">
        <v>16005000</v>
      </c>
    </row>
    <row r="9" spans="1:2">
      <c r="A9" t="s">
        <v>75</v>
      </c>
      <c r="B9" s="1">
        <v>821000</v>
      </c>
    </row>
    <row r="10" spans="1:2">
      <c r="A10" t="s">
        <v>125</v>
      </c>
      <c r="B10" s="1">
        <v>5664000</v>
      </c>
    </row>
    <row r="11" spans="1:2">
      <c r="A11" t="s">
        <v>47</v>
      </c>
      <c r="B11" s="1">
        <v>970000</v>
      </c>
    </row>
    <row r="12" spans="1:2">
      <c r="A12" t="s">
        <v>177</v>
      </c>
      <c r="B12" s="1">
        <v>21400000</v>
      </c>
    </row>
    <row r="13" spans="1:2">
      <c r="A13" t="s">
        <v>151</v>
      </c>
      <c r="B13" s="1">
        <v>2155000</v>
      </c>
    </row>
    <row r="14" spans="1:2">
      <c r="A14" t="s">
        <v>104</v>
      </c>
      <c r="B14" s="1">
        <v>4931000</v>
      </c>
    </row>
    <row r="15" spans="1:2">
      <c r="A15" t="s">
        <v>236</v>
      </c>
      <c r="B15" s="1">
        <v>9000</v>
      </c>
    </row>
    <row r="16" spans="1:2">
      <c r="A16" t="s">
        <v>131</v>
      </c>
      <c r="B16" s="1">
        <v>934000</v>
      </c>
    </row>
    <row r="17" spans="1:2">
      <c r="A17" t="s">
        <v>156</v>
      </c>
      <c r="B17" s="1">
        <v>1351000</v>
      </c>
    </row>
    <row r="18" spans="1:2">
      <c r="A18" t="s">
        <v>110</v>
      </c>
      <c r="B18" s="1">
        <v>732000</v>
      </c>
    </row>
    <row r="19" spans="1:2">
      <c r="A19" t="s">
        <v>237</v>
      </c>
      <c r="B19" s="1">
        <v>5254000</v>
      </c>
    </row>
    <row r="20" spans="1:2">
      <c r="A20" t="s">
        <v>190</v>
      </c>
      <c r="B20" s="1">
        <v>6043000</v>
      </c>
    </row>
    <row r="21" spans="1:2">
      <c r="A21" t="s">
        <v>113</v>
      </c>
      <c r="B21" s="1">
        <v>780000</v>
      </c>
    </row>
    <row r="22" spans="1:2">
      <c r="A22" t="s">
        <v>112</v>
      </c>
      <c r="B22" s="1">
        <v>1338000</v>
      </c>
    </row>
    <row r="23" spans="1:2">
      <c r="A23" t="s">
        <v>68</v>
      </c>
      <c r="B23" s="1">
        <v>1270000</v>
      </c>
    </row>
    <row r="24" spans="1:2">
      <c r="A24" t="s">
        <v>164</v>
      </c>
      <c r="B24" s="1">
        <v>1090000</v>
      </c>
    </row>
    <row r="25" spans="1:2">
      <c r="A25" t="s">
        <v>52</v>
      </c>
      <c r="B25" s="1">
        <v>711000</v>
      </c>
    </row>
    <row r="26" spans="1:2">
      <c r="A26" t="s">
        <v>91</v>
      </c>
      <c r="B26" s="1">
        <v>109000</v>
      </c>
    </row>
    <row r="27" spans="1:2">
      <c r="A27" t="s">
        <v>182</v>
      </c>
      <c r="B27" s="1">
        <v>6180000</v>
      </c>
    </row>
    <row r="28" spans="1:2">
      <c r="A28" t="s">
        <v>167</v>
      </c>
      <c r="B28" s="1">
        <v>28085000</v>
      </c>
    </row>
    <row r="29" spans="1:2">
      <c r="A29" t="s">
        <v>187</v>
      </c>
      <c r="B29" s="1">
        <v>86623000</v>
      </c>
    </row>
    <row r="30" spans="1:2">
      <c r="A30" t="s">
        <v>162</v>
      </c>
      <c r="B30" s="1">
        <v>5094000</v>
      </c>
    </row>
    <row r="31" spans="1:2">
      <c r="A31" t="s">
        <v>59</v>
      </c>
      <c r="B31" s="1">
        <v>1184900</v>
      </c>
    </row>
    <row r="32" spans="1:2">
      <c r="A32" t="s">
        <v>148</v>
      </c>
      <c r="B32" s="1">
        <v>7167000</v>
      </c>
    </row>
    <row r="33" spans="1:2">
      <c r="A33" t="s">
        <v>83</v>
      </c>
      <c r="B33" s="1">
        <v>3379000</v>
      </c>
    </row>
    <row r="34" spans="1:2">
      <c r="A34" t="s">
        <v>170</v>
      </c>
      <c r="B34" s="1">
        <v>8432000</v>
      </c>
    </row>
    <row r="35" spans="1:2">
      <c r="A35" t="s">
        <v>165</v>
      </c>
      <c r="B35" s="1">
        <v>24970000</v>
      </c>
    </row>
    <row r="36" spans="1:2">
      <c r="A36" t="s">
        <v>96</v>
      </c>
      <c r="B36" s="1">
        <v>1399000</v>
      </c>
    </row>
    <row r="37" spans="1:2">
      <c r="A37" t="s">
        <v>158</v>
      </c>
      <c r="B37" s="1">
        <v>1303000</v>
      </c>
    </row>
    <row r="38" spans="1:2">
      <c r="A38" t="s">
        <v>157</v>
      </c>
      <c r="B38" s="1">
        <v>1919000</v>
      </c>
    </row>
    <row r="39" spans="1:2">
      <c r="A39" t="s">
        <v>174</v>
      </c>
      <c r="B39" s="1">
        <v>2819000</v>
      </c>
    </row>
    <row r="40" spans="1:2">
      <c r="A40" t="s">
        <v>169</v>
      </c>
      <c r="B40" s="1">
        <v>601700</v>
      </c>
    </row>
    <row r="41" spans="1:2">
      <c r="A41" t="s">
        <v>123</v>
      </c>
      <c r="B41" s="1">
        <v>229300</v>
      </c>
    </row>
    <row r="42" spans="1:2">
      <c r="A42" t="s">
        <v>118</v>
      </c>
      <c r="B42" s="1">
        <v>13750000</v>
      </c>
    </row>
    <row r="43" spans="1:2">
      <c r="A43" t="s">
        <v>109</v>
      </c>
      <c r="B43" s="1">
        <v>317200</v>
      </c>
    </row>
    <row r="44" spans="1:2">
      <c r="A44" t="s">
        <v>74</v>
      </c>
      <c r="B44" s="1">
        <v>2020000</v>
      </c>
    </row>
    <row r="45" spans="1:2">
      <c r="A45" t="s">
        <v>184</v>
      </c>
      <c r="B45" s="1">
        <v>23146000</v>
      </c>
    </row>
    <row r="46" spans="1:2">
      <c r="A46" t="s">
        <v>238</v>
      </c>
      <c r="B46" s="1">
        <v>159000</v>
      </c>
    </row>
    <row r="47" spans="1:2">
      <c r="A47" t="s">
        <v>179</v>
      </c>
      <c r="B47" s="1">
        <v>1629000</v>
      </c>
    </row>
    <row r="48" spans="1:2">
      <c r="A48" t="s">
        <v>65</v>
      </c>
      <c r="B48" s="1">
        <v>699000</v>
      </c>
    </row>
    <row r="49" spans="1:2">
      <c r="A49" t="s">
        <v>193</v>
      </c>
      <c r="B49" s="1">
        <v>7040000</v>
      </c>
    </row>
    <row r="50" spans="1:2">
      <c r="A50" t="s">
        <v>136</v>
      </c>
      <c r="B50" s="1">
        <v>3318200</v>
      </c>
    </row>
    <row r="51" spans="1:2">
      <c r="A51" t="s">
        <v>137</v>
      </c>
      <c r="B51" s="1">
        <v>851000</v>
      </c>
    </row>
    <row r="52" spans="1:2">
      <c r="A52" t="s">
        <v>92</v>
      </c>
      <c r="B52" s="1">
        <v>988000</v>
      </c>
    </row>
    <row r="53" spans="1:2">
      <c r="A53" t="s">
        <v>107</v>
      </c>
      <c r="B53" s="1">
        <v>2118500</v>
      </c>
    </row>
    <row r="54" spans="1:2">
      <c r="A54" t="s">
        <v>159</v>
      </c>
      <c r="B54" s="1">
        <v>11742000</v>
      </c>
    </row>
    <row r="55" spans="1:2">
      <c r="A55" t="s">
        <v>153</v>
      </c>
      <c r="B55" s="1">
        <v>2657000</v>
      </c>
    </row>
    <row r="56" spans="1:2">
      <c r="A56" t="s">
        <v>239</v>
      </c>
      <c r="B56" s="1">
        <v>1086000</v>
      </c>
    </row>
    <row r="57" spans="1:2">
      <c r="A57" t="s">
        <v>79</v>
      </c>
      <c r="B57" s="1">
        <v>25000</v>
      </c>
    </row>
    <row r="58" spans="1:2">
      <c r="A58" t="s">
        <v>155</v>
      </c>
      <c r="B58" s="1">
        <v>16882000</v>
      </c>
    </row>
    <row r="59" spans="1:2">
      <c r="A59" t="s">
        <v>127</v>
      </c>
      <c r="B59" s="1">
        <v>51000</v>
      </c>
    </row>
    <row r="60" spans="1:2">
      <c r="A60" t="s">
        <v>186</v>
      </c>
      <c r="B60" s="1">
        <v>5154000</v>
      </c>
    </row>
    <row r="61" spans="1:2">
      <c r="A61" t="s">
        <v>173</v>
      </c>
      <c r="B61" s="1">
        <v>3161000</v>
      </c>
    </row>
    <row r="62" spans="1:2">
      <c r="A62" t="s">
        <v>168</v>
      </c>
      <c r="B62" s="1">
        <v>15755000</v>
      </c>
    </row>
    <row r="63" spans="1:2">
      <c r="A63" t="s">
        <v>116</v>
      </c>
      <c r="B63" s="1">
        <v>1127500</v>
      </c>
    </row>
    <row r="64" spans="1:2">
      <c r="A64" t="s">
        <v>194</v>
      </c>
      <c r="B64" s="1">
        <v>11275100</v>
      </c>
    </row>
    <row r="65" spans="1:5">
      <c r="A65" t="s">
        <v>94</v>
      </c>
      <c r="B65" s="1">
        <v>3314000</v>
      </c>
    </row>
    <row r="66" spans="1:5">
      <c r="A66" t="s">
        <v>149</v>
      </c>
      <c r="B66" s="1">
        <v>7267000</v>
      </c>
    </row>
    <row r="67" spans="1:5">
      <c r="A67" t="s">
        <v>63</v>
      </c>
      <c r="B67" s="1">
        <v>1400</v>
      </c>
    </row>
    <row r="68" spans="1:5">
      <c r="A68" t="s">
        <v>36</v>
      </c>
      <c r="B68" s="1">
        <v>397000</v>
      </c>
    </row>
    <row r="69" spans="1:5">
      <c r="A69" t="s">
        <v>95</v>
      </c>
      <c r="B69" s="1">
        <v>15184000</v>
      </c>
    </row>
    <row r="70" spans="1:5">
      <c r="A70" t="s">
        <v>55</v>
      </c>
      <c r="B70" s="1">
        <v>18200</v>
      </c>
    </row>
    <row r="71" spans="1:5">
      <c r="A71" t="s">
        <v>35</v>
      </c>
      <c r="B71" s="1">
        <v>1610000</v>
      </c>
    </row>
    <row r="72" spans="1:5">
      <c r="A72" t="s">
        <v>192</v>
      </c>
      <c r="B72" s="1">
        <v>219000</v>
      </c>
      <c r="D72">
        <v>2021</v>
      </c>
    </row>
    <row r="73" spans="1:5">
      <c r="A73" t="s">
        <v>189</v>
      </c>
      <c r="B73" s="1">
        <v>5767000</v>
      </c>
      <c r="D73">
        <v>2021</v>
      </c>
    </row>
    <row r="74" spans="1:5">
      <c r="A74" t="s">
        <v>175</v>
      </c>
      <c r="B74" s="1">
        <v>80730000</v>
      </c>
      <c r="D74">
        <v>2022</v>
      </c>
    </row>
    <row r="75" spans="1:5">
      <c r="A75" t="s">
        <v>180</v>
      </c>
      <c r="B75" s="1">
        <v>71000000</v>
      </c>
      <c r="D75">
        <v>2022</v>
      </c>
      <c r="E75" s="1" t="s">
        <v>240</v>
      </c>
    </row>
    <row r="76" spans="1:5">
      <c r="A76" t="s">
        <v>185</v>
      </c>
      <c r="B76" s="1">
        <v>9000000</v>
      </c>
      <c r="D76">
        <v>2022</v>
      </c>
      <c r="E76" t="s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F746-4B9F-4216-BAC3-2B2F40B36E63}">
  <dimension ref="A1:B32"/>
  <sheetViews>
    <sheetView workbookViewId="0">
      <selection activeCell="A13" sqref="A13"/>
    </sheetView>
  </sheetViews>
  <sheetFormatPr baseColWidth="10" defaultColWidth="8.83203125" defaultRowHeight="15"/>
  <cols>
    <col min="1" max="1" width="14.5" bestFit="1" customWidth="1"/>
  </cols>
  <sheetData>
    <row r="1" spans="1:2">
      <c r="A1" t="s">
        <v>0</v>
      </c>
      <c r="B1" t="s">
        <v>242</v>
      </c>
    </row>
    <row r="2" spans="1:2">
      <c r="A2" t="s">
        <v>174</v>
      </c>
      <c r="B2">
        <v>13.8</v>
      </c>
    </row>
    <row r="3" spans="1:2">
      <c r="A3" t="s">
        <v>185</v>
      </c>
      <c r="B3">
        <v>12.1</v>
      </c>
    </row>
    <row r="4" spans="1:2">
      <c r="A4" t="s">
        <v>167</v>
      </c>
      <c r="B4">
        <v>11.7</v>
      </c>
    </row>
    <row r="5" spans="1:2">
      <c r="A5" t="s">
        <v>179</v>
      </c>
      <c r="B5">
        <v>11.2</v>
      </c>
    </row>
    <row r="6" spans="1:2">
      <c r="A6" t="s">
        <v>187</v>
      </c>
      <c r="B6">
        <v>10.9</v>
      </c>
    </row>
    <row r="7" spans="1:2">
      <c r="A7" t="s">
        <v>184</v>
      </c>
      <c r="B7">
        <v>10.4</v>
      </c>
    </row>
    <row r="8" spans="1:2">
      <c r="A8" t="s">
        <v>183</v>
      </c>
      <c r="B8">
        <v>10.4</v>
      </c>
    </row>
    <row r="9" spans="1:2">
      <c r="A9" t="s">
        <v>180</v>
      </c>
      <c r="B9">
        <v>10.3</v>
      </c>
    </row>
    <row r="10" spans="1:2">
      <c r="A10" t="s">
        <v>188</v>
      </c>
      <c r="B10">
        <v>9.6</v>
      </c>
    </row>
    <row r="11" spans="1:2">
      <c r="A11" t="s">
        <v>177</v>
      </c>
      <c r="B11">
        <v>9.5</v>
      </c>
    </row>
    <row r="12" spans="1:2">
      <c r="A12" t="s">
        <v>170</v>
      </c>
      <c r="B12">
        <v>7.9</v>
      </c>
    </row>
    <row r="13" spans="1:2">
      <c r="A13" t="s">
        <v>175</v>
      </c>
      <c r="B13">
        <v>7.3</v>
      </c>
    </row>
    <row r="14" spans="1:2">
      <c r="A14" t="s">
        <v>176</v>
      </c>
      <c r="B14">
        <v>6.8</v>
      </c>
    </row>
    <row r="15" spans="1:2">
      <c r="A15" t="s">
        <v>168</v>
      </c>
      <c r="B15">
        <v>5.8</v>
      </c>
    </row>
    <row r="16" spans="1:2">
      <c r="A16" t="s">
        <v>153</v>
      </c>
      <c r="B16">
        <v>5.8</v>
      </c>
    </row>
    <row r="17" spans="1:2">
      <c r="A17" t="s">
        <v>173</v>
      </c>
      <c r="B17">
        <v>5.7</v>
      </c>
    </row>
    <row r="18" spans="1:2">
      <c r="A18" t="s">
        <v>163</v>
      </c>
      <c r="B18">
        <v>5.2</v>
      </c>
    </row>
    <row r="19" spans="1:2">
      <c r="A19" t="s">
        <v>162</v>
      </c>
      <c r="B19">
        <v>5</v>
      </c>
    </row>
    <row r="20" spans="1:2">
      <c r="A20" t="s">
        <v>157</v>
      </c>
      <c r="B20">
        <v>4.8</v>
      </c>
    </row>
    <row r="21" spans="1:2">
      <c r="A21" t="s">
        <v>158</v>
      </c>
      <c r="B21">
        <v>4.3</v>
      </c>
    </row>
    <row r="22" spans="1:2">
      <c r="A22" t="s">
        <v>150</v>
      </c>
      <c r="B22">
        <v>3.4</v>
      </c>
    </row>
    <row r="23" spans="1:2">
      <c r="A23" t="s">
        <v>164</v>
      </c>
      <c r="B23">
        <v>3.4</v>
      </c>
    </row>
    <row r="24" spans="1:2">
      <c r="A24" t="s">
        <v>131</v>
      </c>
      <c r="B24">
        <v>3.4</v>
      </c>
    </row>
    <row r="25" spans="1:2">
      <c r="A25" t="s">
        <v>159</v>
      </c>
      <c r="B25">
        <v>3.4</v>
      </c>
    </row>
    <row r="26" spans="1:2">
      <c r="A26" t="s">
        <v>148</v>
      </c>
      <c r="B26">
        <v>2.9</v>
      </c>
    </row>
    <row r="27" spans="1:2">
      <c r="A27" t="s">
        <v>104</v>
      </c>
      <c r="B27">
        <v>2.7</v>
      </c>
    </row>
    <row r="28" spans="1:2">
      <c r="A28" t="s">
        <v>139</v>
      </c>
      <c r="B28">
        <v>2.2999999999999998</v>
      </c>
    </row>
    <row r="29" spans="1:2">
      <c r="A29" t="s">
        <v>151</v>
      </c>
      <c r="B29">
        <v>2.2999999999999998</v>
      </c>
    </row>
    <row r="30" spans="1:2">
      <c r="A30" t="s">
        <v>106</v>
      </c>
      <c r="B30">
        <v>2.2000000000000002</v>
      </c>
    </row>
    <row r="31" spans="1:2">
      <c r="A31" t="s">
        <v>149</v>
      </c>
      <c r="B31">
        <v>1.9</v>
      </c>
    </row>
    <row r="32" spans="1:2">
      <c r="A32" t="s">
        <v>118</v>
      </c>
      <c r="B32">
        <v>1.1000000000000001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1B42-5DDA-472A-92E3-FC8BC0301D36}">
  <dimension ref="A1:B49"/>
  <sheetViews>
    <sheetView topLeftCell="A32" workbookViewId="0">
      <selection activeCell="C28" sqref="C28"/>
    </sheetView>
  </sheetViews>
  <sheetFormatPr baseColWidth="10" defaultColWidth="8.83203125" defaultRowHeight="15"/>
  <cols>
    <col min="2" max="2" width="11.1640625" bestFit="1" customWidth="1"/>
  </cols>
  <sheetData>
    <row r="1" spans="1:2">
      <c r="A1" t="s">
        <v>202</v>
      </c>
      <c r="B1" t="s">
        <v>243</v>
      </c>
    </row>
    <row r="2" spans="1:2">
      <c r="A2" t="s">
        <v>175</v>
      </c>
      <c r="B2">
        <v>24500000</v>
      </c>
    </row>
    <row r="3" spans="1:2">
      <c r="A3" t="s">
        <v>120</v>
      </c>
      <c r="B3">
        <v>6200000</v>
      </c>
    </row>
    <row r="4" spans="1:2">
      <c r="A4" t="s">
        <v>171</v>
      </c>
      <c r="B4">
        <v>3400000</v>
      </c>
    </row>
    <row r="5" spans="1:2">
      <c r="A5" t="s">
        <v>180</v>
      </c>
      <c r="B5">
        <v>2800000</v>
      </c>
    </row>
    <row r="6" spans="1:2">
      <c r="A6" t="s">
        <v>167</v>
      </c>
      <c r="B6">
        <v>2800000</v>
      </c>
    </row>
    <row r="7" spans="1:2">
      <c r="A7" t="s">
        <v>187</v>
      </c>
      <c r="B7">
        <v>2700000</v>
      </c>
    </row>
    <row r="8" spans="1:2">
      <c r="A8" t="s">
        <v>177</v>
      </c>
      <c r="B8">
        <v>2300000</v>
      </c>
    </row>
    <row r="9" spans="1:2">
      <c r="A9" t="s">
        <v>185</v>
      </c>
      <c r="B9">
        <v>2200000</v>
      </c>
    </row>
    <row r="10" spans="1:2">
      <c r="A10" t="s">
        <v>165</v>
      </c>
      <c r="B10">
        <v>1400000</v>
      </c>
    </row>
    <row r="11" spans="1:2">
      <c r="A11" t="s">
        <v>176</v>
      </c>
      <c r="B11">
        <v>1300000</v>
      </c>
    </row>
    <row r="12" spans="1:2">
      <c r="A12" t="s">
        <v>194</v>
      </c>
      <c r="B12">
        <v>1200000</v>
      </c>
    </row>
    <row r="13" spans="1:2">
      <c r="A13" t="s">
        <v>184</v>
      </c>
      <c r="B13">
        <v>1100000</v>
      </c>
    </row>
    <row r="14" spans="1:2">
      <c r="A14" t="s">
        <v>168</v>
      </c>
      <c r="B14">
        <v>1100000</v>
      </c>
    </row>
    <row r="15" spans="1:2">
      <c r="A15" t="s">
        <v>233</v>
      </c>
      <c r="B15">
        <v>869000</v>
      </c>
    </row>
    <row r="16" spans="1:2">
      <c r="A16" t="s">
        <v>61</v>
      </c>
      <c r="B16">
        <v>796000</v>
      </c>
    </row>
    <row r="17" spans="1:2">
      <c r="A17" t="s">
        <v>191</v>
      </c>
      <c r="B17">
        <v>632000</v>
      </c>
    </row>
    <row r="18" spans="1:2">
      <c r="A18" t="s">
        <v>189</v>
      </c>
      <c r="B18">
        <v>610000</v>
      </c>
    </row>
    <row r="19" spans="1:2">
      <c r="A19" t="s">
        <v>183</v>
      </c>
      <c r="B19">
        <v>589000</v>
      </c>
    </row>
    <row r="20" spans="1:2">
      <c r="A20" t="s">
        <v>190</v>
      </c>
      <c r="B20">
        <v>385000</v>
      </c>
    </row>
    <row r="21" spans="1:2">
      <c r="A21" t="s">
        <v>139</v>
      </c>
      <c r="B21">
        <v>353000</v>
      </c>
    </row>
    <row r="22" spans="1:2">
      <c r="A22" t="s">
        <v>179</v>
      </c>
      <c r="B22">
        <v>347000</v>
      </c>
    </row>
    <row r="23" spans="1:2">
      <c r="A23" t="s">
        <v>118</v>
      </c>
      <c r="B23">
        <v>318000</v>
      </c>
    </row>
    <row r="24" spans="1:2">
      <c r="A24" t="s">
        <v>155</v>
      </c>
      <c r="B24">
        <v>313000</v>
      </c>
    </row>
    <row r="25" spans="1:2">
      <c r="A25" t="s">
        <v>186</v>
      </c>
      <c r="B25">
        <v>299000</v>
      </c>
    </row>
    <row r="26" spans="1:2">
      <c r="A26" t="s">
        <v>172</v>
      </c>
      <c r="B26">
        <v>271000</v>
      </c>
    </row>
    <row r="27" spans="1:2">
      <c r="A27" t="s">
        <v>106</v>
      </c>
      <c r="B27">
        <v>266000</v>
      </c>
    </row>
    <row r="28" spans="1:2">
      <c r="A28" t="s">
        <v>193</v>
      </c>
      <c r="B28">
        <v>236000</v>
      </c>
    </row>
    <row r="29" spans="1:2">
      <c r="A29" t="s">
        <v>170</v>
      </c>
      <c r="B29">
        <v>204000</v>
      </c>
    </row>
    <row r="30" spans="1:2">
      <c r="A30" t="s">
        <v>83</v>
      </c>
      <c r="B30">
        <v>191000</v>
      </c>
    </row>
    <row r="31" spans="1:2">
      <c r="A31" t="s">
        <v>188</v>
      </c>
      <c r="B31">
        <v>176000</v>
      </c>
    </row>
    <row r="32" spans="1:2">
      <c r="A32" t="s">
        <v>153</v>
      </c>
      <c r="B32">
        <v>159000</v>
      </c>
    </row>
    <row r="33" spans="1:2">
      <c r="A33" t="s">
        <v>117</v>
      </c>
      <c r="B33">
        <v>147000</v>
      </c>
    </row>
    <row r="34" spans="1:2">
      <c r="A34" t="s">
        <v>182</v>
      </c>
      <c r="B34">
        <v>101000</v>
      </c>
    </row>
    <row r="35" spans="1:2">
      <c r="A35" t="s">
        <v>159</v>
      </c>
      <c r="B35">
        <v>100000</v>
      </c>
    </row>
    <row r="36" spans="1:2">
      <c r="A36" t="s">
        <v>90</v>
      </c>
      <c r="B36">
        <v>87000</v>
      </c>
    </row>
    <row r="37" spans="1:2">
      <c r="A37" t="s">
        <v>85</v>
      </c>
      <c r="B37">
        <v>86000</v>
      </c>
    </row>
    <row r="38" spans="1:2">
      <c r="A38" t="s">
        <v>129</v>
      </c>
      <c r="B38">
        <v>82000</v>
      </c>
    </row>
    <row r="39" spans="1:2">
      <c r="A39" t="s">
        <v>162</v>
      </c>
      <c r="B39">
        <v>81000</v>
      </c>
    </row>
    <row r="40" spans="1:2">
      <c r="A40" t="s">
        <v>82</v>
      </c>
      <c r="B40">
        <v>79000</v>
      </c>
    </row>
    <row r="41" spans="1:2">
      <c r="A41" t="s">
        <v>149</v>
      </c>
      <c r="B41">
        <v>73000</v>
      </c>
    </row>
    <row r="42" spans="1:2">
      <c r="A42" t="s">
        <v>151</v>
      </c>
      <c r="B42">
        <v>66000</v>
      </c>
    </row>
    <row r="43" spans="1:2">
      <c r="A43" t="s">
        <v>88</v>
      </c>
      <c r="B43">
        <v>49000</v>
      </c>
    </row>
    <row r="44" spans="1:2">
      <c r="A44" t="s">
        <v>104</v>
      </c>
      <c r="B44">
        <v>39000</v>
      </c>
    </row>
    <row r="45" spans="1:2">
      <c r="A45" t="s">
        <v>142</v>
      </c>
      <c r="B45">
        <v>37000</v>
      </c>
    </row>
    <row r="46" spans="1:2">
      <c r="A46" t="s">
        <v>154</v>
      </c>
      <c r="B46">
        <v>36000</v>
      </c>
    </row>
    <row r="47" spans="1:2">
      <c r="A47" t="s">
        <v>148</v>
      </c>
      <c r="B47">
        <v>32000</v>
      </c>
    </row>
    <row r="48" spans="1:2">
      <c r="A48" t="s">
        <v>192</v>
      </c>
      <c r="B48" s="1">
        <v>394000</v>
      </c>
    </row>
    <row r="49" spans="1:2">
      <c r="A49" t="s">
        <v>174</v>
      </c>
      <c r="B49" s="1">
        <v>85786</v>
      </c>
    </row>
  </sheetData>
  <autoFilter ref="A1:B47" xr:uid="{A0FC1B42-5DDA-472A-92E3-FC8BC0301D3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9C59-7D14-4F20-943B-341E4BCBCD01}">
  <dimension ref="A1:E197"/>
  <sheetViews>
    <sheetView workbookViewId="0">
      <selection activeCell="E2" sqref="E2"/>
    </sheetView>
  </sheetViews>
  <sheetFormatPr baseColWidth="10" defaultColWidth="8.83203125" defaultRowHeight="15"/>
  <cols>
    <col min="1" max="1" width="15.5" bestFit="1" customWidth="1"/>
  </cols>
  <sheetData>
    <row r="1" spans="1:5">
      <c r="A1" t="s">
        <v>245</v>
      </c>
      <c r="B1" t="s">
        <v>246</v>
      </c>
    </row>
    <row r="2" spans="1:5">
      <c r="A2" t="s">
        <v>61</v>
      </c>
      <c r="B2">
        <v>1428.63</v>
      </c>
      <c r="D2" t="s">
        <v>222</v>
      </c>
      <c r="E2" t="s">
        <v>244</v>
      </c>
    </row>
    <row r="3" spans="1:5">
      <c r="A3" t="s">
        <v>120</v>
      </c>
      <c r="B3">
        <v>1410.71</v>
      </c>
    </row>
    <row r="4" spans="1:5">
      <c r="A4" t="s">
        <v>175</v>
      </c>
      <c r="B4">
        <v>334.91</v>
      </c>
    </row>
    <row r="5" spans="1:5">
      <c r="A5" t="s">
        <v>83</v>
      </c>
      <c r="B5">
        <v>277.52999999999997</v>
      </c>
    </row>
    <row r="6" spans="1:5">
      <c r="A6" t="s">
        <v>30</v>
      </c>
      <c r="B6">
        <v>240.49</v>
      </c>
    </row>
    <row r="7" spans="1:5">
      <c r="A7" t="s">
        <v>33</v>
      </c>
      <c r="B7">
        <v>223.8</v>
      </c>
    </row>
    <row r="8" spans="1:5">
      <c r="A8" t="s">
        <v>106</v>
      </c>
      <c r="B8">
        <v>216.42</v>
      </c>
    </row>
    <row r="9" spans="1:5">
      <c r="A9" t="s">
        <v>66</v>
      </c>
      <c r="B9">
        <v>172.95</v>
      </c>
    </row>
    <row r="10" spans="1:5">
      <c r="A10" t="s">
        <v>139</v>
      </c>
      <c r="B10">
        <v>143.83000000000001</v>
      </c>
    </row>
    <row r="11" spans="1:5">
      <c r="A11" t="s">
        <v>118</v>
      </c>
      <c r="B11">
        <v>128.46</v>
      </c>
    </row>
    <row r="12" spans="1:5">
      <c r="A12" t="s">
        <v>19</v>
      </c>
      <c r="B12">
        <v>126.53</v>
      </c>
    </row>
    <row r="13" spans="1:5">
      <c r="A13" t="s">
        <v>171</v>
      </c>
      <c r="B13">
        <v>124.52</v>
      </c>
    </row>
    <row r="14" spans="1:5">
      <c r="A14" t="s">
        <v>82</v>
      </c>
      <c r="B14">
        <v>117.34</v>
      </c>
    </row>
    <row r="15" spans="1:5">
      <c r="A15" t="s">
        <v>90</v>
      </c>
      <c r="B15">
        <v>112.72</v>
      </c>
    </row>
    <row r="16" spans="1:5">
      <c r="A16" t="s">
        <v>15</v>
      </c>
      <c r="B16">
        <v>102.26</v>
      </c>
    </row>
    <row r="17" spans="1:2">
      <c r="A17" t="s">
        <v>88</v>
      </c>
      <c r="B17">
        <v>98.86</v>
      </c>
    </row>
    <row r="18" spans="1:2">
      <c r="A18" t="s">
        <v>117</v>
      </c>
      <c r="B18">
        <v>89.17</v>
      </c>
    </row>
    <row r="19" spans="1:2">
      <c r="A19" t="s">
        <v>149</v>
      </c>
      <c r="B19">
        <v>85.33</v>
      </c>
    </row>
    <row r="20" spans="1:2">
      <c r="A20" t="s">
        <v>187</v>
      </c>
      <c r="B20">
        <v>84.48</v>
      </c>
    </row>
    <row r="21" spans="1:2">
      <c r="A21" t="s">
        <v>129</v>
      </c>
      <c r="B21">
        <v>71.8</v>
      </c>
    </row>
    <row r="22" spans="1:2">
      <c r="A22" t="s">
        <v>180</v>
      </c>
      <c r="B22">
        <v>68.349999999999994</v>
      </c>
    </row>
    <row r="23" spans="1:2">
      <c r="A23" t="s">
        <v>167</v>
      </c>
      <c r="B23">
        <v>68.17</v>
      </c>
    </row>
    <row r="24" spans="1:2">
      <c r="A24" t="s">
        <v>28</v>
      </c>
      <c r="B24">
        <v>67.44</v>
      </c>
    </row>
    <row r="25" spans="1:2">
      <c r="A25" t="s">
        <v>85</v>
      </c>
      <c r="B25">
        <v>60.41</v>
      </c>
    </row>
    <row r="26" spans="1:2">
      <c r="A26" t="s">
        <v>165</v>
      </c>
      <c r="B26">
        <v>58.76</v>
      </c>
    </row>
    <row r="27" spans="1:2">
      <c r="A27" t="s">
        <v>49</v>
      </c>
      <c r="B27">
        <v>55.1</v>
      </c>
    </row>
    <row r="28" spans="1:2">
      <c r="A28" t="s">
        <v>247</v>
      </c>
      <c r="B28">
        <v>54.58</v>
      </c>
    </row>
    <row r="29" spans="1:2">
      <c r="A29" t="s">
        <v>104</v>
      </c>
      <c r="B29">
        <v>52.09</v>
      </c>
    </row>
    <row r="30" spans="1:2">
      <c r="A30" t="s">
        <v>176</v>
      </c>
      <c r="B30">
        <v>51.71</v>
      </c>
    </row>
    <row r="31" spans="1:2">
      <c r="A31" t="s">
        <v>36</v>
      </c>
      <c r="B31">
        <v>48.58</v>
      </c>
    </row>
    <row r="32" spans="1:2">
      <c r="A32" t="s">
        <v>168</v>
      </c>
      <c r="B32">
        <v>48.37</v>
      </c>
    </row>
    <row r="33" spans="1:2">
      <c r="A33" t="s">
        <v>25</v>
      </c>
      <c r="B33">
        <v>48.11</v>
      </c>
    </row>
    <row r="34" spans="1:2">
      <c r="A34" t="s">
        <v>147</v>
      </c>
      <c r="B34">
        <v>46.65</v>
      </c>
    </row>
    <row r="35" spans="1:2">
      <c r="A35" t="s">
        <v>102</v>
      </c>
      <c r="B35">
        <v>45.61</v>
      </c>
    </row>
    <row r="36" spans="1:2">
      <c r="A36" t="s">
        <v>67</v>
      </c>
      <c r="B36">
        <v>45.5</v>
      </c>
    </row>
    <row r="37" spans="1:2">
      <c r="A37" t="s">
        <v>13</v>
      </c>
      <c r="B37">
        <v>42.24</v>
      </c>
    </row>
    <row r="38" spans="1:2">
      <c r="A38" t="s">
        <v>177</v>
      </c>
      <c r="B38">
        <v>40.1</v>
      </c>
    </row>
    <row r="39" spans="1:2">
      <c r="A39" t="s">
        <v>74</v>
      </c>
      <c r="B39">
        <v>37.840000000000003</v>
      </c>
    </row>
    <row r="40" spans="1:2">
      <c r="A40" t="s">
        <v>95</v>
      </c>
      <c r="B40">
        <v>37</v>
      </c>
    </row>
    <row r="41" spans="1:2">
      <c r="A41" t="s">
        <v>155</v>
      </c>
      <c r="B41">
        <v>36.950000000000003</v>
      </c>
    </row>
    <row r="42" spans="1:2">
      <c r="A42" t="s">
        <v>159</v>
      </c>
      <c r="B42">
        <v>36.69</v>
      </c>
    </row>
    <row r="43" spans="1:2">
      <c r="A43" t="s">
        <v>45</v>
      </c>
      <c r="B43">
        <v>36.68</v>
      </c>
    </row>
    <row r="44" spans="1:2">
      <c r="A44" t="s">
        <v>89</v>
      </c>
      <c r="B44">
        <v>36.409999999999997</v>
      </c>
    </row>
    <row r="45" spans="1:2">
      <c r="A45" t="s">
        <v>9</v>
      </c>
      <c r="B45">
        <v>34.450000000000003</v>
      </c>
    </row>
    <row r="46" spans="1:2">
      <c r="A46" t="s">
        <v>107</v>
      </c>
      <c r="B46">
        <v>34.35</v>
      </c>
    </row>
    <row r="47" spans="1:2">
      <c r="A47" t="s">
        <v>132</v>
      </c>
      <c r="B47">
        <v>34.31</v>
      </c>
    </row>
    <row r="48" spans="1:2">
      <c r="A48" t="s">
        <v>50</v>
      </c>
      <c r="B48">
        <v>34.119999999999997</v>
      </c>
    </row>
    <row r="49" spans="1:2">
      <c r="A49" t="s">
        <v>12</v>
      </c>
      <c r="B49">
        <v>33.9</v>
      </c>
    </row>
    <row r="50" spans="1:2">
      <c r="A50" t="s">
        <v>48</v>
      </c>
      <c r="B50">
        <v>30.9</v>
      </c>
    </row>
    <row r="51" spans="1:2">
      <c r="A51" t="s">
        <v>17</v>
      </c>
      <c r="B51">
        <v>30.33</v>
      </c>
    </row>
    <row r="52" spans="1:2">
      <c r="A52" t="s">
        <v>29</v>
      </c>
      <c r="B52">
        <v>28.87</v>
      </c>
    </row>
    <row r="53" spans="1:2">
      <c r="A53" t="s">
        <v>76</v>
      </c>
      <c r="B53">
        <v>28.84</v>
      </c>
    </row>
    <row r="54" spans="1:2">
      <c r="A54" t="s">
        <v>44</v>
      </c>
      <c r="B54">
        <v>28.65</v>
      </c>
    </row>
    <row r="55" spans="1:2">
      <c r="A55" t="s">
        <v>5</v>
      </c>
      <c r="B55">
        <v>27.2</v>
      </c>
    </row>
    <row r="56" spans="1:2">
      <c r="A56" t="s">
        <v>185</v>
      </c>
      <c r="B56">
        <v>26.64</v>
      </c>
    </row>
    <row r="57" spans="1:2">
      <c r="A57" t="s">
        <v>248</v>
      </c>
      <c r="B57">
        <v>26.16</v>
      </c>
    </row>
    <row r="58" spans="1:2">
      <c r="A58" t="s">
        <v>7</v>
      </c>
      <c r="B58">
        <v>23.29</v>
      </c>
    </row>
    <row r="59" spans="1:2">
      <c r="A59" t="s">
        <v>10</v>
      </c>
      <c r="B59">
        <v>23.25</v>
      </c>
    </row>
    <row r="60" spans="1:2">
      <c r="A60" t="s">
        <v>38</v>
      </c>
      <c r="B60">
        <v>23.23</v>
      </c>
    </row>
    <row r="61" spans="1:2">
      <c r="A61" t="s">
        <v>116</v>
      </c>
      <c r="B61">
        <v>22.04</v>
      </c>
    </row>
    <row r="62" spans="1:2">
      <c r="A62" t="s">
        <v>23</v>
      </c>
      <c r="B62">
        <v>20.93</v>
      </c>
    </row>
    <row r="63" spans="1:2">
      <c r="A63" t="s">
        <v>42</v>
      </c>
      <c r="B63">
        <v>20.57</v>
      </c>
    </row>
    <row r="64" spans="1:2">
      <c r="A64" t="s">
        <v>128</v>
      </c>
      <c r="B64">
        <v>19.899999999999999</v>
      </c>
    </row>
    <row r="65" spans="1:2">
      <c r="A65" t="s">
        <v>151</v>
      </c>
      <c r="B65">
        <v>19.63</v>
      </c>
    </row>
    <row r="66" spans="1:2">
      <c r="A66" t="s">
        <v>142</v>
      </c>
      <c r="B66">
        <v>19.059999999999999</v>
      </c>
    </row>
    <row r="67" spans="1:2">
      <c r="A67" t="s">
        <v>6</v>
      </c>
      <c r="B67">
        <v>18.28</v>
      </c>
    </row>
    <row r="68" spans="1:2">
      <c r="A68" t="s">
        <v>112</v>
      </c>
      <c r="B68">
        <v>18.190000000000001</v>
      </c>
    </row>
    <row r="69" spans="1:2">
      <c r="A69" t="s">
        <v>2</v>
      </c>
      <c r="B69">
        <v>18.14</v>
      </c>
    </row>
    <row r="70" spans="1:2">
      <c r="A70" t="s">
        <v>184</v>
      </c>
      <c r="B70">
        <v>17.88</v>
      </c>
    </row>
    <row r="71" spans="1:2">
      <c r="A71" t="s">
        <v>26</v>
      </c>
      <c r="B71">
        <v>17.760000000000002</v>
      </c>
    </row>
    <row r="72" spans="1:2">
      <c r="A72" t="s">
        <v>59</v>
      </c>
      <c r="B72">
        <v>17.600000000000001</v>
      </c>
    </row>
    <row r="73" spans="1:2">
      <c r="A73" t="s">
        <v>47</v>
      </c>
      <c r="B73">
        <v>16.940000000000001</v>
      </c>
    </row>
    <row r="74" spans="1:2">
      <c r="A74" t="s">
        <v>35</v>
      </c>
      <c r="B74">
        <v>16.670000000000002</v>
      </c>
    </row>
    <row r="75" spans="1:2">
      <c r="A75" t="s">
        <v>14</v>
      </c>
      <c r="B75">
        <v>14.19</v>
      </c>
    </row>
    <row r="76" spans="1:2">
      <c r="A76" t="s">
        <v>34</v>
      </c>
      <c r="B76">
        <v>14.09</v>
      </c>
    </row>
    <row r="77" spans="1:2">
      <c r="A77" t="s">
        <v>22</v>
      </c>
      <c r="B77">
        <v>13.71</v>
      </c>
    </row>
    <row r="78" spans="1:2">
      <c r="A78" t="s">
        <v>8</v>
      </c>
      <c r="B78">
        <v>13.24</v>
      </c>
    </row>
    <row r="79" spans="1:2">
      <c r="A79" t="s">
        <v>94</v>
      </c>
      <c r="B79">
        <v>12.46</v>
      </c>
    </row>
    <row r="80" spans="1:2">
      <c r="A80" t="s">
        <v>75</v>
      </c>
      <c r="B80">
        <v>12.39</v>
      </c>
    </row>
    <row r="81" spans="1:2">
      <c r="A81" t="s">
        <v>183</v>
      </c>
      <c r="B81">
        <v>11.82</v>
      </c>
    </row>
    <row r="82" spans="1:2">
      <c r="A82" t="s">
        <v>37</v>
      </c>
      <c r="B82">
        <v>11.72</v>
      </c>
    </row>
    <row r="83" spans="1:2">
      <c r="A83" t="s">
        <v>96</v>
      </c>
      <c r="B83">
        <v>11.34</v>
      </c>
    </row>
    <row r="84" spans="1:2">
      <c r="A84" t="s">
        <v>249</v>
      </c>
      <c r="B84">
        <v>11.33</v>
      </c>
    </row>
    <row r="85" spans="1:2">
      <c r="A85" t="s">
        <v>237</v>
      </c>
      <c r="B85">
        <v>10.87</v>
      </c>
    </row>
    <row r="86" spans="1:2">
      <c r="A86" t="s">
        <v>57</v>
      </c>
      <c r="B86">
        <v>10.59</v>
      </c>
    </row>
    <row r="87" spans="1:2">
      <c r="A87" t="s">
        <v>189</v>
      </c>
      <c r="B87">
        <v>10.54</v>
      </c>
    </row>
    <row r="88" spans="1:2">
      <c r="A88" t="s">
        <v>153</v>
      </c>
      <c r="B88">
        <v>10.53</v>
      </c>
    </row>
    <row r="89" spans="1:2">
      <c r="A89" t="s">
        <v>162</v>
      </c>
      <c r="B89">
        <v>10.36</v>
      </c>
    </row>
    <row r="90" spans="1:2">
      <c r="A90" t="s">
        <v>250</v>
      </c>
      <c r="B90">
        <v>10.33</v>
      </c>
    </row>
    <row r="91" spans="1:2">
      <c r="A91" t="s">
        <v>69</v>
      </c>
      <c r="B91">
        <v>10.14</v>
      </c>
    </row>
    <row r="92" spans="1:2">
      <c r="A92" t="s">
        <v>105</v>
      </c>
      <c r="B92">
        <v>10.11</v>
      </c>
    </row>
    <row r="93" spans="1:2">
      <c r="A93" t="s">
        <v>170</v>
      </c>
      <c r="B93">
        <v>9.76</v>
      </c>
    </row>
    <row r="94" spans="1:2">
      <c r="A94" t="s">
        <v>148</v>
      </c>
      <c r="B94">
        <v>9.59</v>
      </c>
    </row>
    <row r="95" spans="1:2">
      <c r="A95" t="s">
        <v>251</v>
      </c>
      <c r="B95">
        <v>9.52</v>
      </c>
    </row>
    <row r="96" spans="1:2">
      <c r="A96" t="s">
        <v>126</v>
      </c>
      <c r="B96">
        <v>9.18</v>
      </c>
    </row>
    <row r="97" spans="1:2">
      <c r="A97" t="s">
        <v>172</v>
      </c>
      <c r="B97">
        <v>9.1300000000000008</v>
      </c>
    </row>
    <row r="98" spans="1:2">
      <c r="A98" t="s">
        <v>32</v>
      </c>
      <c r="B98">
        <v>9.0500000000000007</v>
      </c>
    </row>
    <row r="99" spans="1:2">
      <c r="A99" t="s">
        <v>194</v>
      </c>
      <c r="B99">
        <v>8.85</v>
      </c>
    </row>
    <row r="100" spans="1:2">
      <c r="A100" t="s">
        <v>11</v>
      </c>
      <c r="B100">
        <v>8.7899999999999991</v>
      </c>
    </row>
    <row r="101" spans="1:2">
      <c r="A101" t="s">
        <v>56</v>
      </c>
      <c r="B101">
        <v>7.63</v>
      </c>
    </row>
    <row r="102" spans="1:2">
      <c r="A102" t="s">
        <v>191</v>
      </c>
      <c r="B102">
        <v>7.54</v>
      </c>
    </row>
    <row r="103" spans="1:2">
      <c r="A103" t="s">
        <v>78</v>
      </c>
      <c r="B103">
        <v>7.1</v>
      </c>
    </row>
    <row r="104" spans="1:2">
      <c r="A104" t="s">
        <v>65</v>
      </c>
      <c r="B104">
        <v>7.05</v>
      </c>
    </row>
    <row r="105" spans="1:2">
      <c r="A105" t="s">
        <v>103</v>
      </c>
      <c r="B105">
        <v>6.89</v>
      </c>
    </row>
    <row r="106" spans="1:2">
      <c r="A106" t="s">
        <v>92</v>
      </c>
      <c r="B106">
        <v>6.86</v>
      </c>
    </row>
    <row r="107" spans="1:2">
      <c r="A107" t="s">
        <v>130</v>
      </c>
      <c r="B107">
        <v>6.62</v>
      </c>
    </row>
    <row r="108" spans="1:2">
      <c r="A108" t="s">
        <v>101</v>
      </c>
      <c r="B108">
        <v>6.52</v>
      </c>
    </row>
    <row r="109" spans="1:2">
      <c r="A109" t="s">
        <v>125</v>
      </c>
      <c r="B109">
        <v>6.43</v>
      </c>
    </row>
    <row r="110" spans="1:2">
      <c r="A110" t="s">
        <v>68</v>
      </c>
      <c r="B110">
        <v>6.36</v>
      </c>
    </row>
    <row r="111" spans="1:2">
      <c r="A111" t="s">
        <v>252</v>
      </c>
      <c r="B111">
        <v>6.11</v>
      </c>
    </row>
    <row r="112" spans="1:2">
      <c r="A112" t="s">
        <v>190</v>
      </c>
      <c r="B112">
        <v>5.95</v>
      </c>
    </row>
    <row r="113" spans="1:2">
      <c r="A113" t="s">
        <v>186</v>
      </c>
      <c r="B113">
        <v>5.92</v>
      </c>
    </row>
    <row r="114" spans="1:2">
      <c r="A114" t="s">
        <v>253</v>
      </c>
      <c r="B114">
        <v>5.74</v>
      </c>
    </row>
    <row r="115" spans="1:2">
      <c r="A115" t="s">
        <v>182</v>
      </c>
      <c r="B115">
        <v>5.58</v>
      </c>
    </row>
    <row r="116" spans="1:2">
      <c r="A116" t="s">
        <v>193</v>
      </c>
      <c r="B116">
        <v>5.52</v>
      </c>
    </row>
    <row r="117" spans="1:2">
      <c r="A117" t="s">
        <v>150</v>
      </c>
      <c r="B117">
        <v>5.43</v>
      </c>
    </row>
    <row r="118" spans="1:2">
      <c r="A118" t="s">
        <v>18</v>
      </c>
      <c r="B118">
        <v>5.42</v>
      </c>
    </row>
    <row r="119" spans="1:2">
      <c r="A119" t="s">
        <v>86</v>
      </c>
      <c r="B119">
        <v>5.35</v>
      </c>
    </row>
    <row r="120" spans="1:2">
      <c r="A120" t="s">
        <v>188</v>
      </c>
      <c r="B120">
        <v>5.26</v>
      </c>
    </row>
    <row r="121" spans="1:2">
      <c r="A121" t="s">
        <v>179</v>
      </c>
      <c r="B121">
        <v>5.22</v>
      </c>
    </row>
    <row r="122" spans="1:2">
      <c r="A122" t="s">
        <v>131</v>
      </c>
      <c r="B122">
        <v>5.21</v>
      </c>
    </row>
    <row r="123" spans="1:2">
      <c r="A123" t="s">
        <v>84</v>
      </c>
      <c r="B123">
        <v>5.17</v>
      </c>
    </row>
    <row r="124" spans="1:2">
      <c r="A124" t="s">
        <v>31</v>
      </c>
      <c r="B124">
        <v>4.8600000000000003</v>
      </c>
    </row>
    <row r="125" spans="1:2">
      <c r="A125" t="s">
        <v>136</v>
      </c>
      <c r="B125">
        <v>4.6399999999999997</v>
      </c>
    </row>
    <row r="126" spans="1:2">
      <c r="A126" t="s">
        <v>137</v>
      </c>
      <c r="B126">
        <v>4.47</v>
      </c>
    </row>
    <row r="127" spans="1:2">
      <c r="A127" t="s">
        <v>146</v>
      </c>
      <c r="B127">
        <v>4.3099999999999996</v>
      </c>
    </row>
    <row r="128" spans="1:2">
      <c r="A128" t="s">
        <v>156</v>
      </c>
      <c r="B128">
        <v>3.85</v>
      </c>
    </row>
    <row r="129" spans="1:2">
      <c r="A129" t="s">
        <v>134</v>
      </c>
      <c r="B129">
        <v>3.76</v>
      </c>
    </row>
    <row r="130" spans="1:2">
      <c r="A130" t="s">
        <v>20</v>
      </c>
      <c r="B130">
        <v>3.75</v>
      </c>
    </row>
    <row r="131" spans="1:2">
      <c r="A131" t="s">
        <v>99</v>
      </c>
      <c r="B131">
        <v>3.45</v>
      </c>
    </row>
    <row r="132" spans="1:2">
      <c r="A132" t="s">
        <v>143</v>
      </c>
      <c r="B132">
        <v>3.42</v>
      </c>
    </row>
    <row r="133" spans="1:2">
      <c r="A133" t="s">
        <v>254</v>
      </c>
      <c r="B133">
        <v>3.21</v>
      </c>
    </row>
    <row r="134" spans="1:2">
      <c r="A134" t="s">
        <v>239</v>
      </c>
      <c r="B134">
        <v>3.21</v>
      </c>
    </row>
    <row r="135" spans="1:2">
      <c r="A135" t="s">
        <v>157</v>
      </c>
      <c r="B135">
        <v>2.87</v>
      </c>
    </row>
    <row r="136" spans="1:2">
      <c r="A136" t="s">
        <v>80</v>
      </c>
      <c r="B136">
        <v>2.83</v>
      </c>
    </row>
    <row r="137" spans="1:2">
      <c r="A137" t="s">
        <v>119</v>
      </c>
      <c r="B137">
        <v>2.78</v>
      </c>
    </row>
    <row r="138" spans="1:2">
      <c r="A138" t="s">
        <v>21</v>
      </c>
      <c r="B138">
        <v>2.77</v>
      </c>
    </row>
    <row r="139" spans="1:2">
      <c r="A139" t="s">
        <v>121</v>
      </c>
      <c r="B139">
        <v>2.75</v>
      </c>
    </row>
    <row r="140" spans="1:2">
      <c r="A140" t="s">
        <v>154</v>
      </c>
      <c r="B140">
        <v>2.72</v>
      </c>
    </row>
    <row r="141" spans="1:2">
      <c r="A141" t="s">
        <v>81</v>
      </c>
      <c r="B141">
        <v>2.68</v>
      </c>
    </row>
    <row r="142" spans="1:2">
      <c r="A142" t="s">
        <v>53</v>
      </c>
      <c r="B142">
        <v>2.6</v>
      </c>
    </row>
    <row r="143" spans="1:2">
      <c r="A143" t="s">
        <v>109</v>
      </c>
      <c r="B143">
        <v>2.4900000000000002</v>
      </c>
    </row>
    <row r="144" spans="1:2">
      <c r="A144" t="s">
        <v>72</v>
      </c>
      <c r="B144">
        <v>2.44</v>
      </c>
    </row>
    <row r="145" spans="1:2">
      <c r="A145" t="s">
        <v>27</v>
      </c>
      <c r="B145">
        <v>2.33</v>
      </c>
    </row>
    <row r="146" spans="1:2">
      <c r="A146" t="s">
        <v>255</v>
      </c>
      <c r="B146">
        <v>2.15</v>
      </c>
    </row>
    <row r="147" spans="1:2">
      <c r="A147" t="s">
        <v>173</v>
      </c>
      <c r="B147">
        <v>2.12</v>
      </c>
    </row>
    <row r="148" spans="1:2">
      <c r="A148" t="s">
        <v>158</v>
      </c>
      <c r="B148">
        <v>1.88</v>
      </c>
    </row>
    <row r="149" spans="1:2">
      <c r="A149" t="s">
        <v>111</v>
      </c>
      <c r="B149">
        <v>1.81</v>
      </c>
    </row>
    <row r="150" spans="1:2">
      <c r="A150" t="s">
        <v>256</v>
      </c>
      <c r="B150">
        <v>1.71</v>
      </c>
    </row>
    <row r="151" spans="1:2">
      <c r="A151" t="s">
        <v>257</v>
      </c>
      <c r="B151">
        <v>1.53</v>
      </c>
    </row>
    <row r="152" spans="1:2">
      <c r="A152" t="s">
        <v>161</v>
      </c>
      <c r="B152">
        <v>1.49</v>
      </c>
    </row>
    <row r="153" spans="1:2">
      <c r="A153" t="s">
        <v>164</v>
      </c>
      <c r="B153">
        <v>1.37</v>
      </c>
    </row>
    <row r="154" spans="1:2">
      <c r="A154" t="s">
        <v>166</v>
      </c>
      <c r="B154">
        <v>1.26</v>
      </c>
    </row>
    <row r="155" spans="1:2">
      <c r="A155" t="s">
        <v>123</v>
      </c>
      <c r="B155">
        <v>1.26</v>
      </c>
    </row>
    <row r="156" spans="1:2">
      <c r="A156" t="s">
        <v>258</v>
      </c>
      <c r="B156">
        <v>1.21</v>
      </c>
    </row>
    <row r="157" spans="1:2">
      <c r="A157" t="s">
        <v>24</v>
      </c>
      <c r="B157">
        <v>1.1399999999999999</v>
      </c>
    </row>
    <row r="158" spans="1:2">
      <c r="A158" t="s">
        <v>91</v>
      </c>
      <c r="B158">
        <v>0.94</v>
      </c>
    </row>
    <row r="159" spans="1:2">
      <c r="A159" t="s">
        <v>43</v>
      </c>
      <c r="B159">
        <v>0.85</v>
      </c>
    </row>
    <row r="160" spans="1:2">
      <c r="A160" t="s">
        <v>100</v>
      </c>
      <c r="B160">
        <v>0.81</v>
      </c>
    </row>
    <row r="161" spans="1:2">
      <c r="A161" t="s">
        <v>70</v>
      </c>
      <c r="B161">
        <v>0.79</v>
      </c>
    </row>
    <row r="162" spans="1:2">
      <c r="A162" t="s">
        <v>259</v>
      </c>
      <c r="B162">
        <v>0.74</v>
      </c>
    </row>
    <row r="163" spans="1:2">
      <c r="A163" t="s">
        <v>260</v>
      </c>
      <c r="B163">
        <v>0.7</v>
      </c>
    </row>
    <row r="164" spans="1:2">
      <c r="A164" t="s">
        <v>174</v>
      </c>
      <c r="B164">
        <v>0.67</v>
      </c>
    </row>
    <row r="165" spans="1:2">
      <c r="A165" t="s">
        <v>145</v>
      </c>
      <c r="B165">
        <v>0.62</v>
      </c>
    </row>
    <row r="166" spans="1:2">
      <c r="A166" t="s">
        <v>71</v>
      </c>
      <c r="B166">
        <v>0.62</v>
      </c>
    </row>
    <row r="167" spans="1:2">
      <c r="A167" t="s">
        <v>64</v>
      </c>
      <c r="B167">
        <v>0.6</v>
      </c>
    </row>
    <row r="168" spans="1:2">
      <c r="A168" t="s">
        <v>169</v>
      </c>
      <c r="B168">
        <v>0.55000000000000004</v>
      </c>
    </row>
    <row r="169" spans="1:2">
      <c r="A169" t="s">
        <v>108</v>
      </c>
      <c r="B169">
        <v>0.52</v>
      </c>
    </row>
    <row r="170" spans="1:2">
      <c r="A170" t="s">
        <v>140</v>
      </c>
      <c r="B170">
        <v>0.45</v>
      </c>
    </row>
    <row r="171" spans="1:2">
      <c r="A171" t="s">
        <v>138</v>
      </c>
      <c r="B171">
        <v>0.41</v>
      </c>
    </row>
    <row r="172" spans="1:2">
      <c r="A172" t="s">
        <v>77</v>
      </c>
      <c r="B172">
        <v>0.41</v>
      </c>
    </row>
    <row r="173" spans="1:2">
      <c r="A173" t="s">
        <v>192</v>
      </c>
      <c r="B173">
        <v>0.39</v>
      </c>
    </row>
    <row r="174" spans="1:2">
      <c r="A174" t="s">
        <v>55</v>
      </c>
      <c r="B174">
        <v>0.33</v>
      </c>
    </row>
    <row r="175" spans="1:2">
      <c r="A175" t="s">
        <v>133</v>
      </c>
      <c r="B175">
        <v>0.28000000000000003</v>
      </c>
    </row>
    <row r="176" spans="1:2">
      <c r="A176" t="s">
        <v>261</v>
      </c>
      <c r="B176">
        <v>0.27</v>
      </c>
    </row>
    <row r="177" spans="1:2">
      <c r="A177" t="s">
        <v>79</v>
      </c>
      <c r="B177">
        <v>0.23</v>
      </c>
    </row>
    <row r="178" spans="1:2">
      <c r="A178" t="s">
        <v>262</v>
      </c>
      <c r="B178">
        <v>0.23</v>
      </c>
    </row>
    <row r="179" spans="1:2">
      <c r="A179" t="s">
        <v>87</v>
      </c>
      <c r="B179">
        <v>0.18</v>
      </c>
    </row>
    <row r="180" spans="1:2">
      <c r="A180" t="s">
        <v>122</v>
      </c>
      <c r="B180">
        <v>0.13</v>
      </c>
    </row>
    <row r="181" spans="1:2">
      <c r="A181" t="s">
        <v>58</v>
      </c>
      <c r="B181">
        <v>0.13</v>
      </c>
    </row>
    <row r="182" spans="1:2">
      <c r="A182" t="s">
        <v>60</v>
      </c>
      <c r="B182">
        <v>0.12</v>
      </c>
    </row>
    <row r="183" spans="1:2">
      <c r="A183" t="s">
        <v>127</v>
      </c>
      <c r="B183">
        <v>0.12</v>
      </c>
    </row>
    <row r="184" spans="1:2">
      <c r="A184" t="s">
        <v>263</v>
      </c>
      <c r="B184">
        <v>0.11</v>
      </c>
    </row>
    <row r="185" spans="1:2">
      <c r="A185" t="s">
        <v>97</v>
      </c>
      <c r="B185">
        <v>0.11</v>
      </c>
    </row>
    <row r="186" spans="1:2">
      <c r="A186" t="s">
        <v>264</v>
      </c>
      <c r="B186">
        <v>0.1</v>
      </c>
    </row>
    <row r="187" spans="1:2">
      <c r="A187" t="s">
        <v>265</v>
      </c>
      <c r="B187">
        <v>0.09</v>
      </c>
    </row>
    <row r="188" spans="1:2">
      <c r="A188" t="s">
        <v>160</v>
      </c>
      <c r="B188">
        <v>0.08</v>
      </c>
    </row>
    <row r="189" spans="1:2">
      <c r="A189" t="s">
        <v>98</v>
      </c>
      <c r="B189">
        <v>7.0000000000000007E-2</v>
      </c>
    </row>
    <row r="190" spans="1:2">
      <c r="A190" t="s">
        <v>266</v>
      </c>
      <c r="B190">
        <v>0.06</v>
      </c>
    </row>
    <row r="191" spans="1:2">
      <c r="A191" t="s">
        <v>267</v>
      </c>
      <c r="B191">
        <v>0.05</v>
      </c>
    </row>
    <row r="192" spans="1:2">
      <c r="A192" t="s">
        <v>181</v>
      </c>
      <c r="B192">
        <v>0.04</v>
      </c>
    </row>
    <row r="193" spans="1:2">
      <c r="A193" t="s">
        <v>268</v>
      </c>
      <c r="B193">
        <v>0.04</v>
      </c>
    </row>
    <row r="194" spans="1:2">
      <c r="A194" t="s">
        <v>269</v>
      </c>
      <c r="B194">
        <v>0.03</v>
      </c>
    </row>
    <row r="195" spans="1:2">
      <c r="A195" t="s">
        <v>152</v>
      </c>
      <c r="B195">
        <v>0.03</v>
      </c>
    </row>
    <row r="196" spans="1:2">
      <c r="A196" t="s">
        <v>124</v>
      </c>
      <c r="B196">
        <v>0.02</v>
      </c>
    </row>
    <row r="197" spans="1:2">
      <c r="A197" t="s">
        <v>63</v>
      </c>
      <c r="B197">
        <v>0.01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6240-6F33-4F3D-9991-31B5E943AA9B}">
  <dimension ref="A1:B161"/>
  <sheetViews>
    <sheetView topLeftCell="A48" workbookViewId="0">
      <selection activeCell="H62" sqref="H62"/>
    </sheetView>
  </sheetViews>
  <sheetFormatPr baseColWidth="10" defaultColWidth="8.83203125" defaultRowHeight="15"/>
  <cols>
    <col min="1" max="1" width="9.5" bestFit="1" customWidth="1"/>
  </cols>
  <sheetData>
    <row r="1" spans="1:2" ht="16" thickBot="1">
      <c r="A1" s="7" t="s">
        <v>245</v>
      </c>
      <c r="B1" s="7" t="s">
        <v>270</v>
      </c>
    </row>
    <row r="2" spans="1:2" ht="17" thickBot="1">
      <c r="A2" s="8" t="s">
        <v>86</v>
      </c>
      <c r="B2" s="9">
        <v>221.3</v>
      </c>
    </row>
    <row r="3" spans="1:2" ht="17" thickBot="1">
      <c r="A3" s="8" t="s">
        <v>149</v>
      </c>
      <c r="B3" s="9">
        <v>53.9</v>
      </c>
    </row>
    <row r="4" spans="1:2" ht="17" thickBot="1">
      <c r="A4" s="8" t="s">
        <v>71</v>
      </c>
      <c r="B4" s="9">
        <v>51.6</v>
      </c>
    </row>
    <row r="5" spans="1:2" ht="33" thickBot="1">
      <c r="A5" s="8" t="s">
        <v>11</v>
      </c>
      <c r="B5" s="9">
        <v>47.6</v>
      </c>
    </row>
    <row r="6" spans="1:2" ht="17" thickBot="1">
      <c r="A6" s="8" t="s">
        <v>117</v>
      </c>
      <c r="B6" s="9">
        <v>44.6</v>
      </c>
    </row>
    <row r="7" spans="1:2" ht="17" thickBot="1">
      <c r="A7" s="8" t="s">
        <v>50</v>
      </c>
      <c r="B7" s="9">
        <v>38.1</v>
      </c>
    </row>
    <row r="8" spans="1:2" ht="17" thickBot="1">
      <c r="A8" s="8" t="s">
        <v>37</v>
      </c>
      <c r="B8" s="9">
        <v>36.799999999999997</v>
      </c>
    </row>
    <row r="9" spans="1:2" ht="17" thickBot="1">
      <c r="A9" s="8" t="s">
        <v>90</v>
      </c>
      <c r="B9" s="9">
        <v>33.9</v>
      </c>
    </row>
    <row r="10" spans="1:2" ht="17" thickBot="1">
      <c r="A10" s="8" t="s">
        <v>56</v>
      </c>
      <c r="B10" s="9">
        <v>31.2</v>
      </c>
    </row>
    <row r="11" spans="1:2" ht="17" thickBot="1">
      <c r="A11" s="8" t="s">
        <v>30</v>
      </c>
      <c r="B11" s="9">
        <v>30.8</v>
      </c>
    </row>
    <row r="12" spans="1:2" ht="17" thickBot="1">
      <c r="A12" s="8" t="s">
        <v>19</v>
      </c>
      <c r="B12" s="9">
        <v>30.2</v>
      </c>
    </row>
    <row r="13" spans="1:2" ht="17" thickBot="1">
      <c r="A13" s="8" t="s">
        <v>23</v>
      </c>
      <c r="B13" s="9">
        <v>28.8</v>
      </c>
    </row>
    <row r="14" spans="1:2" ht="17" thickBot="1">
      <c r="A14" s="8" t="s">
        <v>8</v>
      </c>
      <c r="B14" s="9">
        <v>26.9</v>
      </c>
    </row>
    <row r="15" spans="1:2" ht="17" thickBot="1">
      <c r="A15" s="8" t="s">
        <v>33</v>
      </c>
      <c r="B15" s="9">
        <v>24.7</v>
      </c>
    </row>
    <row r="16" spans="1:2" ht="33" thickBot="1">
      <c r="A16" s="8" t="s">
        <v>262</v>
      </c>
      <c r="B16" s="9">
        <v>21.3</v>
      </c>
    </row>
    <row r="17" spans="1:2" ht="17" thickBot="1">
      <c r="A17" s="8" t="s">
        <v>34</v>
      </c>
      <c r="B17" s="9">
        <v>19.8</v>
      </c>
    </row>
    <row r="18" spans="1:2" ht="17" thickBot="1">
      <c r="A18" s="8" t="s">
        <v>148</v>
      </c>
      <c r="B18" s="9">
        <v>17.100000000000001</v>
      </c>
    </row>
    <row r="19" spans="1:2" ht="17" thickBot="1">
      <c r="A19" s="8" t="s">
        <v>21</v>
      </c>
      <c r="B19" s="9">
        <v>17</v>
      </c>
    </row>
    <row r="20" spans="1:2" ht="17" thickBot="1">
      <c r="A20" s="8" t="s">
        <v>116</v>
      </c>
      <c r="B20" s="9">
        <v>16.5</v>
      </c>
    </row>
    <row r="21" spans="1:2" ht="17" thickBot="1">
      <c r="A21" s="8" t="s">
        <v>128</v>
      </c>
      <c r="B21" s="9">
        <v>14.7</v>
      </c>
    </row>
    <row r="22" spans="1:2" ht="17" thickBot="1">
      <c r="A22" s="8" t="s">
        <v>45</v>
      </c>
      <c r="B22" s="9">
        <v>13.6</v>
      </c>
    </row>
    <row r="23" spans="1:2" ht="17" thickBot="1">
      <c r="A23" s="8" t="s">
        <v>109</v>
      </c>
      <c r="B23" s="9">
        <v>13.4</v>
      </c>
    </row>
    <row r="24" spans="1:2" ht="17" thickBot="1">
      <c r="A24" s="8" t="s">
        <v>124</v>
      </c>
      <c r="B24" s="9">
        <v>12.8</v>
      </c>
    </row>
    <row r="25" spans="1:2" ht="17" thickBot="1">
      <c r="A25" s="8" t="s">
        <v>95</v>
      </c>
      <c r="B25" s="9">
        <v>12.8</v>
      </c>
    </row>
    <row r="26" spans="1:2" ht="17" thickBot="1">
      <c r="A26" s="8" t="s">
        <v>130</v>
      </c>
      <c r="B26" s="9">
        <v>12.4</v>
      </c>
    </row>
    <row r="27" spans="1:2" ht="17" thickBot="1">
      <c r="A27" s="8" t="s">
        <v>104</v>
      </c>
      <c r="B27" s="9">
        <v>11.7</v>
      </c>
    </row>
    <row r="28" spans="1:2" ht="17" thickBot="1">
      <c r="A28" s="8" t="s">
        <v>159</v>
      </c>
      <c r="B28" s="9">
        <v>11.5</v>
      </c>
    </row>
    <row r="29" spans="1:2" ht="17" thickBot="1">
      <c r="A29" s="8" t="s">
        <v>42</v>
      </c>
      <c r="B29" s="9">
        <v>10.9</v>
      </c>
    </row>
    <row r="30" spans="1:2" ht="17" thickBot="1">
      <c r="A30" s="8" t="s">
        <v>6</v>
      </c>
      <c r="B30" s="9">
        <v>10.8</v>
      </c>
    </row>
    <row r="31" spans="1:2" ht="17" thickBot="1">
      <c r="A31" s="8" t="s">
        <v>78</v>
      </c>
      <c r="B31" s="9">
        <v>10.8</v>
      </c>
    </row>
    <row r="32" spans="1:2" ht="17" thickBot="1">
      <c r="A32" s="8" t="s">
        <v>237</v>
      </c>
      <c r="B32" s="9">
        <v>10.7</v>
      </c>
    </row>
    <row r="33" spans="1:2" ht="17" thickBot="1">
      <c r="A33" s="8" t="s">
        <v>150</v>
      </c>
      <c r="B33" s="9">
        <v>10.5</v>
      </c>
    </row>
    <row r="34" spans="1:2" ht="17" thickBot="1">
      <c r="A34" s="8" t="s">
        <v>142</v>
      </c>
      <c r="B34" s="9">
        <v>10.4</v>
      </c>
    </row>
    <row r="35" spans="1:2" ht="17" thickBot="1">
      <c r="A35" s="8" t="s">
        <v>99</v>
      </c>
      <c r="B35" s="9">
        <v>10.3</v>
      </c>
    </row>
    <row r="36" spans="1:2" ht="17" thickBot="1">
      <c r="A36" s="8" t="s">
        <v>18</v>
      </c>
      <c r="B36" s="9">
        <v>10.1</v>
      </c>
    </row>
    <row r="37" spans="1:2" ht="33" thickBot="1">
      <c r="A37" s="8" t="s">
        <v>66</v>
      </c>
      <c r="B37" s="9">
        <v>9.9</v>
      </c>
    </row>
    <row r="38" spans="1:2" ht="33" thickBot="1">
      <c r="A38" s="8" t="s">
        <v>17</v>
      </c>
      <c r="B38" s="9">
        <v>9.9</v>
      </c>
    </row>
    <row r="39" spans="1:2" ht="17" thickBot="1">
      <c r="A39" s="8" t="s">
        <v>133</v>
      </c>
      <c r="B39" s="9">
        <v>9.8000000000000007</v>
      </c>
    </row>
    <row r="40" spans="1:2" ht="17" thickBot="1">
      <c r="A40" s="8" t="s">
        <v>125</v>
      </c>
      <c r="B40" s="9">
        <v>9.4</v>
      </c>
    </row>
    <row r="41" spans="1:2" ht="33" thickBot="1">
      <c r="A41" s="8" t="s">
        <v>111</v>
      </c>
      <c r="B41" s="9">
        <v>9.4</v>
      </c>
    </row>
    <row r="42" spans="1:2" ht="17" thickBot="1">
      <c r="A42" s="8" t="s">
        <v>102</v>
      </c>
      <c r="B42" s="9">
        <v>9.3000000000000007</v>
      </c>
    </row>
    <row r="43" spans="1:2" ht="17" thickBot="1">
      <c r="A43" s="8" t="s">
        <v>58</v>
      </c>
      <c r="B43" s="9">
        <v>9.3000000000000007</v>
      </c>
    </row>
    <row r="44" spans="1:2" ht="17" thickBot="1">
      <c r="A44" s="8" t="s">
        <v>94</v>
      </c>
      <c r="B44" s="9">
        <v>9.3000000000000007</v>
      </c>
    </row>
    <row r="45" spans="1:2" ht="17" thickBot="1">
      <c r="A45" s="8" t="s">
        <v>164</v>
      </c>
      <c r="B45" s="9">
        <v>9.1999999999999993</v>
      </c>
    </row>
    <row r="46" spans="1:2" ht="17" thickBot="1">
      <c r="A46" s="8" t="s">
        <v>157</v>
      </c>
      <c r="B46" s="9">
        <v>9.1</v>
      </c>
    </row>
    <row r="47" spans="1:2" ht="17" thickBot="1">
      <c r="A47" s="8" t="s">
        <v>158</v>
      </c>
      <c r="B47" s="9">
        <v>8.9</v>
      </c>
    </row>
    <row r="48" spans="1:2" ht="17" thickBot="1">
      <c r="A48" s="8" t="s">
        <v>105</v>
      </c>
      <c r="B48" s="9">
        <v>8.8000000000000007</v>
      </c>
    </row>
    <row r="49" spans="1:2" ht="17" thickBot="1">
      <c r="A49" s="8" t="s">
        <v>192</v>
      </c>
      <c r="B49" s="9">
        <v>8.6999999999999993</v>
      </c>
    </row>
    <row r="50" spans="1:2" ht="33" thickBot="1">
      <c r="A50" s="8" t="s">
        <v>145</v>
      </c>
      <c r="B50" s="9">
        <v>8.6</v>
      </c>
    </row>
    <row r="51" spans="1:2" ht="17" thickBot="1">
      <c r="A51" s="8" t="s">
        <v>189</v>
      </c>
      <c r="B51" s="9">
        <v>8.5</v>
      </c>
    </row>
    <row r="52" spans="1:2" ht="17" thickBot="1">
      <c r="A52" s="8" t="s">
        <v>65</v>
      </c>
      <c r="B52" s="9">
        <v>8.4</v>
      </c>
    </row>
    <row r="53" spans="1:2" ht="17" thickBot="1">
      <c r="A53" s="8" t="s">
        <v>156</v>
      </c>
      <c r="B53" s="9">
        <v>7.9</v>
      </c>
    </row>
    <row r="54" spans="1:2" ht="17" thickBot="1">
      <c r="A54" s="8" t="s">
        <v>172</v>
      </c>
      <c r="B54" s="9">
        <v>7.8</v>
      </c>
    </row>
    <row r="55" spans="1:2" ht="17" thickBot="1">
      <c r="A55" s="8" t="s">
        <v>14</v>
      </c>
      <c r="B55" s="9">
        <v>7.8</v>
      </c>
    </row>
    <row r="56" spans="1:2" ht="17" thickBot="1">
      <c r="A56" s="8" t="s">
        <v>49</v>
      </c>
      <c r="B56" s="9">
        <v>7.7</v>
      </c>
    </row>
    <row r="57" spans="1:2" ht="17" thickBot="1">
      <c r="A57" s="8" t="s">
        <v>151</v>
      </c>
      <c r="B57" s="9">
        <v>7.6</v>
      </c>
    </row>
    <row r="58" spans="1:2" ht="17" thickBot="1">
      <c r="A58" s="8" t="s">
        <v>44</v>
      </c>
      <c r="B58" s="9">
        <v>7.4</v>
      </c>
    </row>
    <row r="59" spans="1:2" ht="17" thickBot="1">
      <c r="A59" s="8" t="s">
        <v>173</v>
      </c>
      <c r="B59" s="9">
        <v>7.4</v>
      </c>
    </row>
    <row r="60" spans="1:2" ht="17" thickBot="1">
      <c r="A60" s="8" t="s">
        <v>123</v>
      </c>
      <c r="B60" s="9">
        <v>7.1</v>
      </c>
    </row>
    <row r="61" spans="1:2" ht="33" thickBot="1">
      <c r="A61" s="8" t="s">
        <v>12</v>
      </c>
      <c r="B61" s="9">
        <v>7.1</v>
      </c>
    </row>
    <row r="62" spans="1:2" ht="17" thickBot="1">
      <c r="A62" s="8" t="s">
        <v>48</v>
      </c>
      <c r="B62" s="9">
        <v>7.1</v>
      </c>
    </row>
    <row r="63" spans="1:2" ht="33" thickBot="1">
      <c r="A63" s="8" t="s">
        <v>180</v>
      </c>
      <c r="B63" s="9">
        <v>6.8</v>
      </c>
    </row>
    <row r="64" spans="1:2" ht="17" thickBot="1">
      <c r="A64" s="8" t="s">
        <v>57</v>
      </c>
      <c r="B64" s="9">
        <v>6.7</v>
      </c>
    </row>
    <row r="65" spans="1:2" ht="17" thickBot="1">
      <c r="A65" s="8" t="s">
        <v>80</v>
      </c>
      <c r="B65" s="9">
        <v>6.5</v>
      </c>
    </row>
    <row r="66" spans="1:2" ht="17" thickBot="1">
      <c r="A66" s="8" t="s">
        <v>107</v>
      </c>
      <c r="B66" s="9">
        <v>6.5</v>
      </c>
    </row>
    <row r="67" spans="1:2" ht="17" thickBot="1">
      <c r="A67" s="8" t="s">
        <v>97</v>
      </c>
      <c r="B67" s="9">
        <v>6.4</v>
      </c>
    </row>
    <row r="68" spans="1:2" ht="17" thickBot="1">
      <c r="A68" s="8" t="s">
        <v>182</v>
      </c>
      <c r="B68" s="9">
        <v>6.3</v>
      </c>
    </row>
    <row r="69" spans="1:2" ht="17" thickBot="1">
      <c r="A69" s="8" t="s">
        <v>188</v>
      </c>
      <c r="B69" s="9">
        <v>6.3</v>
      </c>
    </row>
    <row r="70" spans="1:2" ht="17" thickBot="1">
      <c r="A70" s="8" t="s">
        <v>27</v>
      </c>
      <c r="B70" s="9">
        <v>6.3</v>
      </c>
    </row>
    <row r="71" spans="1:2" ht="33" thickBot="1">
      <c r="A71" s="8" t="s">
        <v>254</v>
      </c>
      <c r="B71" s="9">
        <v>6.1</v>
      </c>
    </row>
    <row r="72" spans="1:2" ht="17" thickBot="1">
      <c r="A72" s="8" t="s">
        <v>74</v>
      </c>
      <c r="B72" s="9">
        <v>6.1</v>
      </c>
    </row>
    <row r="73" spans="1:2" ht="33" thickBot="1">
      <c r="A73" s="8" t="s">
        <v>85</v>
      </c>
      <c r="B73" s="9">
        <v>6.1</v>
      </c>
    </row>
    <row r="74" spans="1:2" ht="17" thickBot="1">
      <c r="A74" s="8" t="s">
        <v>82</v>
      </c>
      <c r="B74" s="9">
        <v>6</v>
      </c>
    </row>
    <row r="75" spans="1:2" ht="17" thickBot="1">
      <c r="A75" s="8" t="s">
        <v>187</v>
      </c>
      <c r="B75" s="9">
        <v>5.9</v>
      </c>
    </row>
    <row r="76" spans="1:2" ht="17" thickBot="1">
      <c r="A76" s="8" t="s">
        <v>53</v>
      </c>
      <c r="B76" s="9">
        <v>5.9</v>
      </c>
    </row>
    <row r="77" spans="1:2" ht="17" thickBot="1">
      <c r="A77" s="8" t="s">
        <v>84</v>
      </c>
      <c r="B77" s="9">
        <v>5.9</v>
      </c>
    </row>
    <row r="78" spans="1:2" ht="17" thickBot="1">
      <c r="A78" s="8" t="s">
        <v>26</v>
      </c>
      <c r="B78" s="9">
        <v>5.9</v>
      </c>
    </row>
    <row r="79" spans="1:2" ht="33" thickBot="1">
      <c r="A79" s="8" t="s">
        <v>259</v>
      </c>
      <c r="B79" s="9">
        <v>5.9</v>
      </c>
    </row>
    <row r="80" spans="1:2" ht="17" thickBot="1">
      <c r="A80" s="8" t="s">
        <v>143</v>
      </c>
      <c r="B80" s="9">
        <v>5.9</v>
      </c>
    </row>
    <row r="81" spans="1:2" ht="33" thickBot="1">
      <c r="A81" s="8" t="s">
        <v>179</v>
      </c>
      <c r="B81" s="9">
        <v>5.7</v>
      </c>
    </row>
    <row r="82" spans="1:2" ht="17" thickBot="1">
      <c r="A82" s="8" t="s">
        <v>185</v>
      </c>
      <c r="B82" s="9">
        <v>5.6</v>
      </c>
    </row>
    <row r="83" spans="1:2" ht="17" thickBot="1">
      <c r="A83" s="8" t="s">
        <v>61</v>
      </c>
      <c r="B83" s="9">
        <v>5.6</v>
      </c>
    </row>
    <row r="84" spans="1:2" ht="17" thickBot="1">
      <c r="A84" s="8" t="s">
        <v>165</v>
      </c>
      <c r="B84" s="9">
        <v>5.6</v>
      </c>
    </row>
    <row r="85" spans="1:2" ht="17" thickBot="1">
      <c r="A85" s="8" t="s">
        <v>118</v>
      </c>
      <c r="B85" s="9">
        <v>5.5</v>
      </c>
    </row>
    <row r="86" spans="1:2" ht="17" thickBot="1">
      <c r="A86" s="8" t="s">
        <v>193</v>
      </c>
      <c r="B86" s="9">
        <v>5.5</v>
      </c>
    </row>
    <row r="87" spans="1:2" ht="17" thickBot="1">
      <c r="A87" s="8" t="s">
        <v>36</v>
      </c>
      <c r="B87" s="9">
        <v>5.4</v>
      </c>
    </row>
    <row r="88" spans="1:2" ht="17" thickBot="1">
      <c r="A88" s="8" t="s">
        <v>265</v>
      </c>
      <c r="B88" s="9">
        <v>5.0999999999999996</v>
      </c>
    </row>
    <row r="89" spans="1:2" ht="17" thickBot="1">
      <c r="A89" s="8" t="s">
        <v>81</v>
      </c>
      <c r="B89" s="9">
        <v>5.0999999999999996</v>
      </c>
    </row>
    <row r="90" spans="1:2" ht="17" thickBot="1">
      <c r="A90" s="8" t="s">
        <v>169</v>
      </c>
      <c r="B90" s="9">
        <v>5.0999999999999996</v>
      </c>
    </row>
    <row r="91" spans="1:2" ht="17" thickBot="1">
      <c r="A91" s="8" t="s">
        <v>126</v>
      </c>
      <c r="B91" s="9">
        <v>5</v>
      </c>
    </row>
    <row r="92" spans="1:2" ht="17" thickBot="1">
      <c r="A92" s="8" t="s">
        <v>31</v>
      </c>
      <c r="B92" s="9">
        <v>5</v>
      </c>
    </row>
    <row r="93" spans="1:2" ht="17" thickBot="1">
      <c r="A93" s="8" t="s">
        <v>167</v>
      </c>
      <c r="B93" s="9">
        <v>4.9000000000000004</v>
      </c>
    </row>
    <row r="94" spans="1:2" ht="17" thickBot="1">
      <c r="A94" s="8" t="s">
        <v>121</v>
      </c>
      <c r="B94" s="9">
        <v>4.8</v>
      </c>
    </row>
    <row r="95" spans="1:2" ht="33" thickBot="1">
      <c r="A95" s="8" t="s">
        <v>249</v>
      </c>
      <c r="B95" s="9">
        <v>4.8</v>
      </c>
    </row>
    <row r="96" spans="1:2" ht="17" thickBot="1">
      <c r="A96" s="8" t="s">
        <v>186</v>
      </c>
      <c r="B96" s="9">
        <v>4.8</v>
      </c>
    </row>
    <row r="97" spans="1:2" ht="17" thickBot="1">
      <c r="A97" s="8" t="s">
        <v>106</v>
      </c>
      <c r="B97" s="9">
        <v>4.5999999999999996</v>
      </c>
    </row>
    <row r="98" spans="1:2" ht="17" thickBot="1">
      <c r="A98" s="8" t="s">
        <v>92</v>
      </c>
      <c r="B98" s="9">
        <v>4.5999999999999996</v>
      </c>
    </row>
    <row r="99" spans="1:2" ht="33" thickBot="1">
      <c r="A99" s="8" t="s">
        <v>264</v>
      </c>
      <c r="B99" s="9">
        <v>4.5999999999999996</v>
      </c>
    </row>
    <row r="100" spans="1:2" ht="17" thickBot="1">
      <c r="A100" s="8" t="s">
        <v>257</v>
      </c>
      <c r="B100" s="9">
        <v>4.5999999999999996</v>
      </c>
    </row>
    <row r="101" spans="1:2" ht="17" thickBot="1">
      <c r="A101" s="8" t="s">
        <v>77</v>
      </c>
      <c r="B101" s="9">
        <v>4.4000000000000004</v>
      </c>
    </row>
    <row r="102" spans="1:2" ht="17" thickBot="1">
      <c r="A102" s="8" t="s">
        <v>67</v>
      </c>
      <c r="B102" s="9">
        <v>4.4000000000000004</v>
      </c>
    </row>
    <row r="103" spans="1:2" ht="17" thickBot="1">
      <c r="A103" s="8" t="s">
        <v>29</v>
      </c>
      <c r="B103" s="9">
        <v>4.4000000000000004</v>
      </c>
    </row>
    <row r="104" spans="1:2" ht="17" thickBot="1">
      <c r="A104" s="8" t="s">
        <v>153</v>
      </c>
      <c r="B104" s="9">
        <v>4.3</v>
      </c>
    </row>
    <row r="105" spans="1:2" ht="33" thickBot="1">
      <c r="A105" s="8" t="s">
        <v>252</v>
      </c>
      <c r="B105" s="9">
        <v>4.3</v>
      </c>
    </row>
    <row r="106" spans="1:2" ht="17" thickBot="1">
      <c r="A106" s="8" t="s">
        <v>70</v>
      </c>
      <c r="B106" s="9">
        <v>4.2</v>
      </c>
    </row>
    <row r="107" spans="1:2" ht="17" thickBot="1">
      <c r="A107" s="8" t="s">
        <v>98</v>
      </c>
      <c r="B107" s="9">
        <v>4.2</v>
      </c>
    </row>
    <row r="108" spans="1:2" ht="17" thickBot="1">
      <c r="A108" s="8" t="s">
        <v>170</v>
      </c>
      <c r="B108" s="9">
        <v>4.2</v>
      </c>
    </row>
    <row r="109" spans="1:2" ht="17" thickBot="1">
      <c r="A109" s="8" t="s">
        <v>87</v>
      </c>
      <c r="B109" s="9">
        <v>4.0999999999999996</v>
      </c>
    </row>
    <row r="110" spans="1:2" ht="33" thickBot="1">
      <c r="A110" s="8" t="s">
        <v>175</v>
      </c>
      <c r="B110" s="9">
        <v>4.0999999999999996</v>
      </c>
    </row>
    <row r="111" spans="1:2" ht="17" thickBot="1">
      <c r="A111" s="8" t="s">
        <v>183</v>
      </c>
      <c r="B111" s="9">
        <v>4</v>
      </c>
    </row>
    <row r="112" spans="1:2" ht="17" thickBot="1">
      <c r="A112" s="8" t="s">
        <v>68</v>
      </c>
      <c r="B112" s="9">
        <v>4</v>
      </c>
    </row>
    <row r="113" spans="1:2" ht="17" thickBot="1">
      <c r="A113" s="8" t="s">
        <v>177</v>
      </c>
      <c r="B113" s="9">
        <v>3.9</v>
      </c>
    </row>
    <row r="114" spans="1:2" ht="33" thickBot="1">
      <c r="A114" s="8" t="s">
        <v>184</v>
      </c>
      <c r="B114" s="9">
        <v>3.8</v>
      </c>
    </row>
    <row r="115" spans="1:2" ht="17" thickBot="1">
      <c r="A115" s="8" t="s">
        <v>28</v>
      </c>
      <c r="B115" s="9">
        <v>3.8</v>
      </c>
    </row>
    <row r="116" spans="1:2" ht="17" thickBot="1">
      <c r="A116" s="8" t="s">
        <v>64</v>
      </c>
      <c r="B116" s="9">
        <v>3.7</v>
      </c>
    </row>
    <row r="117" spans="1:2" ht="17" thickBot="1">
      <c r="A117" s="8" t="s">
        <v>83</v>
      </c>
      <c r="B117" s="9">
        <v>3.7</v>
      </c>
    </row>
    <row r="118" spans="1:2" ht="33" thickBot="1">
      <c r="A118" s="8" t="s">
        <v>174</v>
      </c>
      <c r="B118" s="9">
        <v>3.7</v>
      </c>
    </row>
    <row r="119" spans="1:2" ht="17" thickBot="1">
      <c r="A119" s="8" t="s">
        <v>5</v>
      </c>
      <c r="B119" s="9">
        <v>3.7</v>
      </c>
    </row>
    <row r="120" spans="1:2" ht="17" thickBot="1">
      <c r="A120" s="8" t="s">
        <v>72</v>
      </c>
      <c r="B120" s="9">
        <v>3.6</v>
      </c>
    </row>
    <row r="121" spans="1:2" ht="17" thickBot="1">
      <c r="A121" s="8" t="s">
        <v>146</v>
      </c>
      <c r="B121" s="9">
        <v>3.6</v>
      </c>
    </row>
    <row r="122" spans="1:2" ht="33" thickBot="1">
      <c r="A122" s="8" t="s">
        <v>176</v>
      </c>
      <c r="B122" s="9">
        <v>3.6</v>
      </c>
    </row>
    <row r="123" spans="1:2" ht="17" thickBot="1">
      <c r="A123" s="8" t="s">
        <v>166</v>
      </c>
      <c r="B123" s="9">
        <v>3.5</v>
      </c>
    </row>
    <row r="124" spans="1:2" ht="17" thickBot="1">
      <c r="A124" s="8" t="s">
        <v>162</v>
      </c>
      <c r="B124" s="9">
        <v>3.5</v>
      </c>
    </row>
    <row r="125" spans="1:2" ht="17" thickBot="1">
      <c r="A125" s="8" t="s">
        <v>168</v>
      </c>
      <c r="B125" s="9">
        <v>3.5</v>
      </c>
    </row>
    <row r="126" spans="1:2" ht="17" thickBot="1">
      <c r="A126" s="8" t="s">
        <v>190</v>
      </c>
      <c r="B126" s="9">
        <v>3.3</v>
      </c>
    </row>
    <row r="127" spans="1:2" ht="17" thickBot="1">
      <c r="A127" s="8" t="s">
        <v>171</v>
      </c>
      <c r="B127" s="9">
        <v>3.3</v>
      </c>
    </row>
    <row r="128" spans="1:2" ht="17" thickBot="1">
      <c r="A128" s="8" t="s">
        <v>88</v>
      </c>
      <c r="B128" s="9">
        <v>3.3</v>
      </c>
    </row>
    <row r="129" spans="1:2" ht="17" thickBot="1">
      <c r="A129" s="8" t="s">
        <v>138</v>
      </c>
      <c r="B129" s="9">
        <v>3.1</v>
      </c>
    </row>
    <row r="130" spans="1:2" ht="33" thickBot="1">
      <c r="A130" s="8" t="s">
        <v>253</v>
      </c>
      <c r="B130" s="9">
        <v>3</v>
      </c>
    </row>
    <row r="131" spans="1:2" ht="17" thickBot="1">
      <c r="A131" s="8" t="s">
        <v>154</v>
      </c>
      <c r="B131" s="9">
        <v>3</v>
      </c>
    </row>
    <row r="132" spans="1:2" ht="17" thickBot="1">
      <c r="A132" s="8" t="s">
        <v>108</v>
      </c>
      <c r="B132" s="9">
        <v>2.9</v>
      </c>
    </row>
    <row r="133" spans="1:2" ht="17" thickBot="1">
      <c r="A133" s="8" t="s">
        <v>100</v>
      </c>
      <c r="B133" s="9">
        <v>2.8</v>
      </c>
    </row>
    <row r="134" spans="1:2" ht="17" thickBot="1">
      <c r="A134" s="8" t="s">
        <v>22</v>
      </c>
      <c r="B134" s="9">
        <v>2.7</v>
      </c>
    </row>
    <row r="135" spans="1:2" ht="17" thickBot="1">
      <c r="A135" s="8" t="s">
        <v>122</v>
      </c>
      <c r="B135" s="9">
        <v>2.7</v>
      </c>
    </row>
    <row r="136" spans="1:2" ht="17" thickBot="1">
      <c r="A136" s="8" t="s">
        <v>75</v>
      </c>
      <c r="B136" s="9">
        <v>2.6</v>
      </c>
    </row>
    <row r="137" spans="1:2" ht="17" thickBot="1">
      <c r="A137" s="8" t="s">
        <v>134</v>
      </c>
      <c r="B137" s="9">
        <v>2.5</v>
      </c>
    </row>
    <row r="138" spans="1:2" ht="17" thickBot="1">
      <c r="A138" s="8" t="s">
        <v>132</v>
      </c>
      <c r="B138" s="9">
        <v>2.5</v>
      </c>
    </row>
    <row r="139" spans="1:2" ht="17" thickBot="1">
      <c r="A139" s="8" t="s">
        <v>103</v>
      </c>
      <c r="B139" s="9">
        <v>2.4</v>
      </c>
    </row>
    <row r="140" spans="1:2" ht="17" thickBot="1">
      <c r="A140" s="8" t="s">
        <v>250</v>
      </c>
      <c r="B140" s="9">
        <v>2.2999999999999998</v>
      </c>
    </row>
    <row r="141" spans="1:2" ht="33" thickBot="1">
      <c r="A141" s="8" t="s">
        <v>155</v>
      </c>
      <c r="B141" s="9">
        <v>2.2999999999999998</v>
      </c>
    </row>
    <row r="142" spans="1:2" ht="17" thickBot="1">
      <c r="A142" s="8" t="s">
        <v>112</v>
      </c>
      <c r="B142" s="9">
        <v>2.2000000000000002</v>
      </c>
    </row>
    <row r="143" spans="1:2" ht="17" thickBot="1">
      <c r="A143" s="8" t="s">
        <v>47</v>
      </c>
      <c r="B143" s="9">
        <v>2.1</v>
      </c>
    </row>
    <row r="144" spans="1:2" ht="17" thickBot="1">
      <c r="A144" s="8" t="s">
        <v>91</v>
      </c>
      <c r="B144" s="9">
        <v>2.1</v>
      </c>
    </row>
    <row r="145" spans="1:2" ht="17" thickBot="1">
      <c r="A145" s="8" t="s">
        <v>191</v>
      </c>
      <c r="B145" s="9">
        <v>2.1</v>
      </c>
    </row>
    <row r="146" spans="1:2" ht="17" thickBot="1">
      <c r="A146" s="8" t="s">
        <v>96</v>
      </c>
      <c r="B146" s="9">
        <v>2.1</v>
      </c>
    </row>
    <row r="147" spans="1:2" ht="17" thickBot="1">
      <c r="A147" s="8" t="s">
        <v>7</v>
      </c>
      <c r="B147" s="9">
        <v>2.1</v>
      </c>
    </row>
    <row r="148" spans="1:2" ht="17" thickBot="1">
      <c r="A148" s="8" t="s">
        <v>194</v>
      </c>
      <c r="B148" s="9">
        <v>2.1</v>
      </c>
    </row>
    <row r="149" spans="1:2" ht="17" thickBot="1">
      <c r="A149" s="8" t="s">
        <v>119</v>
      </c>
      <c r="B149" s="9">
        <v>2</v>
      </c>
    </row>
    <row r="150" spans="1:2" ht="33" thickBot="1">
      <c r="A150" s="8" t="s">
        <v>251</v>
      </c>
      <c r="B150" s="9">
        <v>1.6</v>
      </c>
    </row>
    <row r="151" spans="1:2" ht="17" thickBot="1">
      <c r="A151" s="8" t="s">
        <v>24</v>
      </c>
      <c r="B151" s="9">
        <v>1.5</v>
      </c>
    </row>
    <row r="152" spans="1:2" ht="17" thickBot="1">
      <c r="A152" s="8" t="s">
        <v>137</v>
      </c>
      <c r="B152" s="9">
        <v>1.5</v>
      </c>
    </row>
    <row r="153" spans="1:2" ht="17" thickBot="1">
      <c r="A153" s="8" t="s">
        <v>129</v>
      </c>
      <c r="B153" s="9">
        <v>1.2</v>
      </c>
    </row>
    <row r="154" spans="1:2" ht="17" thickBot="1">
      <c r="A154" s="8" t="s">
        <v>136</v>
      </c>
      <c r="B154" s="9">
        <v>1</v>
      </c>
    </row>
    <row r="155" spans="1:2" ht="33" thickBot="1">
      <c r="A155" s="8" t="s">
        <v>10</v>
      </c>
      <c r="B155" s="9">
        <v>0.7</v>
      </c>
    </row>
    <row r="156" spans="1:2" ht="17" thickBot="1">
      <c r="A156" s="8" t="s">
        <v>131</v>
      </c>
      <c r="B156" s="9">
        <v>0.5</v>
      </c>
    </row>
    <row r="157" spans="1:2" ht="17" thickBot="1">
      <c r="A157" s="8" t="s">
        <v>260</v>
      </c>
      <c r="B157" s="9">
        <v>0.5</v>
      </c>
    </row>
    <row r="158" spans="1:2" ht="17" thickBot="1">
      <c r="A158" s="8" t="s">
        <v>140</v>
      </c>
      <c r="B158" s="9">
        <v>0.4</v>
      </c>
    </row>
    <row r="159" spans="1:2" ht="17" thickBot="1">
      <c r="A159" s="8" t="s">
        <v>120</v>
      </c>
      <c r="B159" s="9">
        <v>0.2</v>
      </c>
    </row>
    <row r="160" spans="1:2" ht="17" thickBot="1">
      <c r="A160" s="8" t="s">
        <v>161</v>
      </c>
      <c r="B160" s="9">
        <v>0.1</v>
      </c>
    </row>
    <row r="161" spans="1:2" ht="17" thickBot="1">
      <c r="A161" s="8" t="s">
        <v>127</v>
      </c>
      <c r="B161" s="9">
        <v>-1</v>
      </c>
    </row>
  </sheetData>
  <hyperlinks>
    <hyperlink ref="A2" r:id="rId1" display="https://www.theglobaleconomy.com/Lebanon/Inflation/" xr:uid="{4D0F49D4-CB91-474B-B45E-57F6E35430D0}"/>
    <hyperlink ref="A3" r:id="rId2" display="https://www.theglobaleconomy.com/Turkey/Inflation/" xr:uid="{F465FF2C-CA37-4C44-A571-BC5737899028}"/>
    <hyperlink ref="A4" r:id="rId3" display="https://www.theglobaleconomy.com/Suriname/Inflation/" xr:uid="{6B711306-299C-4398-B1C0-23E6506FD9EF}"/>
    <hyperlink ref="A5" r:id="rId4" display="https://www.theglobaleconomy.com/Sierra-Leone/Inflation/" xr:uid="{CC46E4BE-DD7D-4782-95A8-7D98E61C0AE4}"/>
    <hyperlink ref="A6" r:id="rId5" display="https://www.theglobaleconomy.com/Iran/Inflation/" xr:uid="{81AEA448-9426-475F-A16E-66CD66324071}"/>
    <hyperlink ref="A7" r:id="rId6" display="https://www.theglobaleconomy.com/Ghana/Inflation/" xr:uid="{8DE15874-6A7E-4EE1-A065-F06C2888D501}"/>
    <hyperlink ref="A8" r:id="rId7" display="https://www.theglobaleconomy.com/Haiti/Inflation/" xr:uid="{9E8D3EEC-035F-483B-9DA5-275C641FD2B7}"/>
    <hyperlink ref="A9" r:id="rId8" display="https://www.theglobaleconomy.com/Egypt/Inflation/" xr:uid="{516BCA15-0B66-4725-BE7D-18EDFCBD3BE6}"/>
    <hyperlink ref="A10" r:id="rId9" display="https://www.theglobaleconomy.com/Laos/Inflation/" xr:uid="{C32493D0-6B2F-47EA-B9F0-36B08E425B40}"/>
    <hyperlink ref="A11" r:id="rId10" display="https://www.theglobaleconomy.com/Pakistan/Inflation/" xr:uid="{50C07440-DF08-469B-9F06-9241028171E6}"/>
    <hyperlink ref="A12" r:id="rId11" display="https://www.theglobaleconomy.com/Ethiopia/Inflation/" xr:uid="{AD7A5231-E1A7-48CD-B05F-19F06E2510A2}"/>
    <hyperlink ref="A13" r:id="rId12" display="https://www.theglobaleconomy.com/Malawi/Inflation/" xr:uid="{8AC65D07-8BA2-40FB-9289-35AEC7FD8868}"/>
    <hyperlink ref="A14" r:id="rId13" display="https://www.theglobaleconomy.com/Burundi/Inflation/" xr:uid="{F03F77BA-5967-4D52-9132-1F30C3787FAB}"/>
    <hyperlink ref="A15" r:id="rId14" display="https://www.theglobaleconomy.com/Nigeria/Inflation/" xr:uid="{58F1256D-D817-4CB5-B2C9-A176D9FE6699}"/>
    <hyperlink ref="A16" r:id="rId15" display="https://www.theglobaleconomy.com/Sao-Tome-and-Principe/Inflation/" xr:uid="{B8D4AC22-E38E-4DE4-89B6-FD27AD5B2CB3}"/>
    <hyperlink ref="A17" r:id="rId16" display="https://www.theglobaleconomy.com/Rwanda/Inflation/" xr:uid="{DA3535BC-FC0C-4977-AAF9-836B1D399D7A}"/>
    <hyperlink ref="A18" r:id="rId17" display="https://www.theglobaleconomy.com/Hungary/Inflation/" xr:uid="{AA4D0266-16E3-4AD8-9EFF-FC08E75D278C}"/>
    <hyperlink ref="A19" r:id="rId18" display="https://www.theglobaleconomy.com/Gambia/Inflation/" xr:uid="{BE1A5CA6-5C10-4A56-8175-3CCB7CB51BC4}"/>
    <hyperlink ref="A20" r:id="rId19" display="https://www.theglobaleconomy.com/Sri-Lanka/Inflation/" xr:uid="{2B858049-7951-47C2-BF7B-FD4332715A58}"/>
    <hyperlink ref="A21" r:id="rId20" display="https://www.theglobaleconomy.com/Kazakhstan/Inflation/" xr:uid="{68385890-AA31-4B70-B697-9108FF16328A}"/>
    <hyperlink ref="A22" r:id="rId21" display="https://www.theglobaleconomy.com/Angola/Inflation/" xr:uid="{69CDC5DA-2BF5-4010-9733-7D3DE780AF5D}"/>
    <hyperlink ref="A23" r:id="rId22" display="https://www.theglobaleconomy.com/Moldova/Inflation/" xr:uid="{D870C0C4-BC56-45C3-8010-281F5E48CFD8}"/>
    <hyperlink ref="A24" r:id="rId23" display="https://www.theglobaleconomy.com/Palau/Inflation/" xr:uid="{7B786DC6-3400-44C9-8E5D-82E71FAC73F7}"/>
    <hyperlink ref="A25" r:id="rId24" display="https://www.theglobaleconomy.com/Ukraine/Inflation/" xr:uid="{C5E11C55-DE0B-4FC3-ABEA-795D39B90BDE}"/>
    <hyperlink ref="A26" r:id="rId25" display="https://www.theglobaleconomy.com/Serbia/Inflation/" xr:uid="{403BFEDE-346D-444B-81D3-9EBCB5CF08BC}"/>
    <hyperlink ref="A27" r:id="rId26" display="https://www.theglobaleconomy.com/Colombia/Inflation/" xr:uid="{4668E570-43B7-4882-AFA8-BE9AFF7C4AA3}"/>
    <hyperlink ref="A28" r:id="rId27" display="https://www.theglobaleconomy.com/Poland/Inflation/" xr:uid="{512622AF-A661-4DBE-A462-1C4590C634CB}"/>
    <hyperlink ref="A29" r:id="rId28" display="https://www.theglobaleconomy.com/Zambia/Inflation/" xr:uid="{8900BB8D-0683-4B1B-AAB1-DC1428871588}"/>
    <hyperlink ref="A30" r:id="rId29" display="https://www.theglobaleconomy.com/Chad/Inflation/" xr:uid="{84AE52F9-3E8D-42EB-B287-13C3E234CAC6}"/>
    <hyperlink ref="A31" r:id="rId30" display="https://www.theglobaleconomy.com/Kyrgyzstan/Inflation/" xr:uid="{0F75A503-5C5F-4D9E-8B46-A5D6F5D23CBC}"/>
    <hyperlink ref="A32" r:id="rId31" display="https://www.theglobaleconomy.com/Czech-Republic/Inflation/" xr:uid="{8CE06101-C26A-4AA5-81BB-16D9737D5CA6}"/>
    <hyperlink ref="A33" r:id="rId32" display="https://www.theglobaleconomy.com/Slovakia/Inflation/" xr:uid="{2FB3A07F-D722-469D-9038-BF04DD5EF98B}"/>
    <hyperlink ref="A34" r:id="rId33" display="https://www.theglobaleconomy.com/Romania/Inflation/" xr:uid="{EBA0D894-55CC-4417-96E1-64F7EED37318}"/>
    <hyperlink ref="A35" r:id="rId34" display="https://www.theglobaleconomy.com/Mongolia/Inflation/" xr:uid="{2DCC0BAB-9991-4667-9252-3707603ECCF6}"/>
    <hyperlink ref="A36" r:id="rId35" display="https://www.theglobaleconomy.com/Liberia/Inflation/" xr:uid="{19F1FA1E-BA9B-4C64-9CAF-0B2EC11824A8}"/>
    <hyperlink ref="A37" r:id="rId36" display="https://www.theglobaleconomy.com/Bangladesh/Inflation/" xr:uid="{997C444F-CF68-45AA-8DC1-B2F9BFF88BBC}"/>
    <hyperlink ref="A38" r:id="rId37" display="https://www.theglobaleconomy.com/Madagascar/Inflation/" xr:uid="{D3AFD1C8-50ED-49F3-BFC3-F3638BE96333}"/>
    <hyperlink ref="A39" r:id="rId38" display="https://www.theglobaleconomy.com/Barbados/Inflation/" xr:uid="{6A0DBF54-E41C-492F-90C3-CB4ECFF9E224}"/>
    <hyperlink ref="A40" r:id="rId39" display="https://www.theglobaleconomy.com/Bulgaria/Inflation/" xr:uid="{4640DC28-C0E9-45D0-8786-C7B3C7E4E5CA}"/>
    <hyperlink ref="A41" r:id="rId40" display="https://www.theglobaleconomy.com/Macedonia/Inflation/" xr:uid="{4D1529DB-EFEB-4F1C-8EDD-EB476997F5B9}"/>
    <hyperlink ref="A42" r:id="rId41" display="https://www.theglobaleconomy.com/Algeria/Inflation/" xr:uid="{5149A107-4F29-487E-A10C-E66AB53138E5}"/>
    <hyperlink ref="A43" r:id="rId42" display="https://www.theglobaleconomy.com/Kiribati/Inflation/" xr:uid="{26908FDA-3217-4477-9629-D185CD8FA0C5}"/>
    <hyperlink ref="A44" r:id="rId43" display="https://www.theglobaleconomy.com/Tunisia/Inflation/" xr:uid="{13806227-6AF2-4A7F-8C6E-F92DBA13B948}"/>
    <hyperlink ref="A45" r:id="rId44" display="https://www.theglobaleconomy.com/Estonia/Inflation/" xr:uid="{417CFB93-42AB-488D-80E5-5BB1266AB767}"/>
    <hyperlink ref="A46" r:id="rId45" display="https://www.theglobaleconomy.com/Lithuania/Inflation/" xr:uid="{650C6C08-DF7F-4DCA-B327-28032EE12FAB}"/>
    <hyperlink ref="A47" r:id="rId46" display="https://www.theglobaleconomy.com/Latvia/Inflation/" xr:uid="{4C252773-D58E-4F53-8C0A-1B7E0930A903}"/>
    <hyperlink ref="A48" r:id="rId47" display="https://www.theglobaleconomy.com/Azerbaijan/Inflation/" xr:uid="{4D911742-75A8-4DE0-9FA6-4BF7347AAD50}"/>
    <hyperlink ref="A49" r:id="rId48" display="https://www.theglobaleconomy.com/Iceland/Inflation/" xr:uid="{74DE510C-BD56-4CE7-A511-97B7BB4BBF7B}"/>
    <hyperlink ref="A50" r:id="rId49" display="https://www.theglobaleconomy.com/Montenegro/Inflation/" xr:uid="{89370170-5D5C-4885-AD99-8391F06A1C16}"/>
    <hyperlink ref="A51" r:id="rId50" display="https://www.theglobaleconomy.com/Sweden/Inflation/" xr:uid="{74A7D06A-8F12-4301-A882-D92B4B9AF9BE}"/>
    <hyperlink ref="A52" r:id="rId51" display="https://www.theglobaleconomy.com/Nicaragua/Inflation/" xr:uid="{8DCBF0E5-2072-429F-82A0-57002A6F7EA4}"/>
    <hyperlink ref="A53" r:id="rId52" display="https://www.theglobaleconomy.com/Croatia/Inflation/" xr:uid="{A6C24BE4-76EA-43C4-867E-B829D8B9DBD8}"/>
    <hyperlink ref="A54" r:id="rId53" display="https://www.theglobaleconomy.com/Austria/Inflation/" xr:uid="{FCBD2A4D-CE61-4E91-A0A4-F9CA6C09B8E8}"/>
    <hyperlink ref="A55" r:id="rId54" display="https://www.theglobaleconomy.com/Guinea/Inflation/" xr:uid="{D78FC2E1-831B-4230-901B-CD695206612E}"/>
    <hyperlink ref="A56" r:id="rId55" display="https://www.theglobaleconomy.com/Kenya/Inflation/" xr:uid="{DD73109F-FC60-4A1A-AF95-9E34C1C313CD}"/>
    <hyperlink ref="A57" r:id="rId56" display="https://www.theglobaleconomy.com/Chile/Inflation/" xr:uid="{0962F14D-E27A-4B28-8883-CFC75CD09BA5}"/>
    <hyperlink ref="A58" r:id="rId57" display="https://www.theglobaleconomy.com/Cameroon/Inflation/" xr:uid="{8F3176FF-A8B4-4019-B628-F48AC426D18E}"/>
    <hyperlink ref="A59" r:id="rId58" display="https://www.theglobaleconomy.com/Slovenia/Inflation/" xr:uid="{051AD370-46DD-4DF6-887F-AF375C59E559}"/>
    <hyperlink ref="A60" r:id="rId59" display="https://www.theglobaleconomy.com/Mauritius/Inflation/" xr:uid="{770F4EA5-5AEB-49F3-BCBB-61C5A1E26948}"/>
    <hyperlink ref="A61" r:id="rId60" display="https://www.theglobaleconomy.com/Mozambique/Inflation/" xr:uid="{F3D58A9F-C997-4489-AD64-B436CD0E3B48}"/>
    <hyperlink ref="A62" r:id="rId61" display="https://www.theglobaleconomy.com/Nepal/Inflation/" xr:uid="{8D2837E7-D94B-4F8E-B95C-68531CF9827E}"/>
    <hyperlink ref="A64" r:id="rId62" display="https://www.theglobaleconomy.com/Honduras/Inflation/" xr:uid="{F542356A-744D-47AC-89B6-7A2175441E3F}"/>
    <hyperlink ref="A65" r:id="rId63" display="https://www.theglobaleconomy.com/Jamaica/Inflation/" xr:uid="{FF151F03-C65C-4FBD-9095-505CFBA6CA9F}"/>
    <hyperlink ref="A66" r:id="rId64" display="https://www.theglobaleconomy.com/Peru/Inflation/" xr:uid="{27F19F5E-97D4-4903-BEAB-F8E61082AAB9}"/>
    <hyperlink ref="A67" r:id="rId65" display="https://www.theglobaleconomy.com/Tonga/Inflation/" xr:uid="{1B9D59D9-63D6-46BB-BAB9-397383BA3482}"/>
    <hyperlink ref="A68" r:id="rId66" display="https://www.theglobaleconomy.com/Finland/Inflation/" xr:uid="{21C5F3F3-9BCC-4551-AC28-75DE9ED2CEE9}"/>
    <hyperlink ref="A69" r:id="rId67" display="https://www.theglobaleconomy.com/Ireland/Inflation/" xr:uid="{C0F7AC67-7108-43CD-B85F-8C91DCD1B2C7}"/>
    <hyperlink ref="A70" r:id="rId68" display="https://www.theglobaleconomy.com/Lesotho/Inflation/" xr:uid="{F745E203-C4B5-4646-86BF-56DEC4A89366}"/>
    <hyperlink ref="A71" r:id="rId69" display="https://www.theglobaleconomy.com/Bosnia-and-Herzegovina/Inflation/" xr:uid="{B06E49C6-A450-4FC5-A963-AD24185DB631}"/>
    <hyperlink ref="A72" r:id="rId70" display="https://www.theglobaleconomy.com/Morocco/Inflation/" xr:uid="{B586D015-C93A-4E33-A7CF-212C144576A9}"/>
    <hyperlink ref="A73" r:id="rId71" display="https://www.theglobaleconomy.com/South-Africa/Inflation/" xr:uid="{4596D6A7-CDF6-4C18-A9A1-7576C8BC9CDB}"/>
    <hyperlink ref="A74" r:id="rId72" display="https://www.theglobaleconomy.com/Philippines/Inflation/" xr:uid="{516E256C-C843-481F-A049-5695F1255E89}"/>
    <hyperlink ref="A75" r:id="rId73" display="https://www.theglobaleconomy.com/Germany/Inflation/" xr:uid="{9472232D-CB08-4A35-8B86-CB1E8915820A}"/>
    <hyperlink ref="A76" r:id="rId74" display="https://www.theglobaleconomy.com/Namibia/Inflation/" xr:uid="{E0BAB93E-0CB9-49ED-AC86-086D841A740E}"/>
    <hyperlink ref="A77" r:id="rId75" display="https://www.theglobaleconomy.com/Palestine/Inflation/" xr:uid="{D409C6E3-2D5D-4020-83A6-A51A2F490880}"/>
    <hyperlink ref="A78" r:id="rId76" display="https://www.theglobaleconomy.com/Senegal/Inflation/" xr:uid="{AB65EE42-15B9-48B7-8A7B-50CE20AE673A}"/>
    <hyperlink ref="A79" r:id="rId77" display="https://www.theglobaleconomy.com/Solomon-Islands/Inflation/" xr:uid="{45D13347-9758-40ED-BA8D-11440A1BDF2B}"/>
    <hyperlink ref="A80" r:id="rId78" display="https://www.theglobaleconomy.com/Uruguay/Inflation/" xr:uid="{16FC1895-D8BF-4CF9-9EDA-0D179C1959E1}"/>
    <hyperlink ref="A81" r:id="rId79" display="https://www.theglobaleconomy.com/New-Zealand/Inflation/" xr:uid="{F2209FF1-D6A3-41E7-A34E-530DFA085BFE}"/>
    <hyperlink ref="A82" r:id="rId80" display="https://www.theglobaleconomy.com/Australia/Inflation/" xr:uid="{39D12229-0191-4E70-A7B7-DBB4DBE9B172}"/>
    <hyperlink ref="A83" r:id="rId81" display="https://www.theglobaleconomy.com/India/Inflation/" xr:uid="{36AAAD76-4F19-4753-832F-03969227C96B}"/>
    <hyperlink ref="A84" r:id="rId82" display="https://www.theglobaleconomy.com/Italy/Inflation/" xr:uid="{26E1D2B0-8647-4C88-8558-AF4333B44B03}"/>
    <hyperlink ref="A85" r:id="rId83" display="https://www.theglobaleconomy.com/Mexico/Inflation/" xr:uid="{6AB04D02-9E57-439B-9860-544C67CB7B0E}"/>
    <hyperlink ref="A86" r:id="rId84" display="https://www.theglobaleconomy.com/Norway/Inflation/" xr:uid="{2D8ACB1F-539E-48EC-85B1-DE439D55F617}"/>
    <hyperlink ref="A87" r:id="rId85" display="https://www.theglobaleconomy.com/Uganda/Inflation/" xr:uid="{309D63BB-689D-4CB3-BD1C-47EB07339163}"/>
    <hyperlink ref="A88" r:id="rId86" display="https://www.theglobaleconomy.com/Antigua-and-Barbuda/Inflation/" xr:uid="{28CB59C3-DD46-49FC-B628-CF461186F84E}"/>
    <hyperlink ref="A89" r:id="rId87" display="https://www.theglobaleconomy.com/Botswana/Inflation/" xr:uid="{08844685-69B3-4E18-8B39-9756BEFE0101}"/>
    <hyperlink ref="A90" r:id="rId88" display="https://www.theglobaleconomy.com/Malta/Inflation/" xr:uid="{2BF289BD-54D2-45DF-9003-CC442B01A6FA}"/>
    <hyperlink ref="A91" r:id="rId89" display="https://www.theglobaleconomy.com/Belarus/Inflation/" xr:uid="{F4D3DAED-EE76-4012-8122-EEFBAD6B10EA}"/>
    <hyperlink ref="A92" r:id="rId90" display="https://www.theglobaleconomy.com/Mauritania/Inflation/" xr:uid="{9019EFBB-5330-4B59-90E0-C04D413FC6BA}"/>
    <hyperlink ref="A93" r:id="rId91" display="https://www.theglobaleconomy.com/France/Inflation/" xr:uid="{61E06411-6B61-4A17-8375-5637941DE76B}"/>
    <hyperlink ref="A94" r:id="rId92" display="https://www.theglobaleconomy.com/Albania/Inflation/" xr:uid="{837CD21F-9005-41E1-9566-22A66BAB7EEB}"/>
    <hyperlink ref="A95" r:id="rId93" display="https://www.theglobaleconomy.com/Dominican-Republic/Inflation/" xr:uid="{F745A331-0339-4617-816C-66495C350300}"/>
    <hyperlink ref="A96" r:id="rId94" display="https://www.theglobaleconomy.com/Singapore/Inflation/" xr:uid="{AD08F544-8AFF-4D78-9A8E-70BC24DBF9DA}"/>
    <hyperlink ref="A97" r:id="rId95" display="https://www.theglobaleconomy.com/Brazil/Inflation/" xr:uid="{38CD003D-636C-4D65-9E2F-8B6A4128F28F}"/>
    <hyperlink ref="A98" r:id="rId96" display="https://www.theglobaleconomy.com/Paraguay/Inflation/" xr:uid="{1B739121-4BAC-4AC4-AE8A-71EAA886CAE8}"/>
    <hyperlink ref="A99" r:id="rId97" display="https://www.theglobaleconomy.com/Saint-Vincent-and-the-Grenadines/Inflation/" xr:uid="{99201F3E-9377-4ABD-A351-8D0B68C22266}"/>
    <hyperlink ref="A100" r:id="rId98" display="https://www.theglobaleconomy.com/Trinidad-and-Tobago/Inflation/" xr:uid="{8750CFA8-90A1-4C83-A2C8-DEF41473308A}"/>
    <hyperlink ref="A101" r:id="rId99" display="https://www.theglobaleconomy.com/Belize/Inflation/" xr:uid="{79C56EC1-B81F-4460-AD0F-5ADB14A4E7FF}"/>
    <hyperlink ref="A102" r:id="rId100" display="https://www.theglobaleconomy.com/Iraq/Inflation/" xr:uid="{F31C15CC-532C-4245-97D9-0F9C39C38C73}"/>
    <hyperlink ref="A103" r:id="rId101" display="https://www.theglobaleconomy.com/Ivory-Coast/Inflation/" xr:uid="{F8DB5371-DD60-4E02-978E-4251F4878D26}"/>
    <hyperlink ref="A104" r:id="rId102" display="https://www.theglobaleconomy.com/Portugal/Inflation/" xr:uid="{51584313-327E-4E10-A177-1D35B5C4198B}"/>
    <hyperlink ref="A105" r:id="rId103" display="https://www.theglobaleconomy.com/Republic-of-the-Congo/Inflation/" xr:uid="{ED8441F1-84F2-4032-8C62-3D4C4B48BB69}"/>
    <hyperlink ref="A106" r:id="rId104" display="https://www.theglobaleconomy.com/Bhutan/Inflation/" xr:uid="{230E6FAC-133D-4BEC-A1EA-83F675DE4407}"/>
    <hyperlink ref="A107" r:id="rId105" display="https://www.theglobaleconomy.com/Dominica/Inflation/" xr:uid="{8EB1ED25-77DA-4B8B-8839-6DB7B4DBA374}"/>
    <hyperlink ref="A108" r:id="rId106" display="https://www.theglobaleconomy.com/Israel/Inflation/" xr:uid="{81D14FB9-69F9-435B-ACD4-3ABF9AEE2A33}"/>
    <hyperlink ref="A109" r:id="rId107" display="https://www.theglobaleconomy.com/Saint-Lucia/Inflation/" xr:uid="{982A4852-ABFD-4B69-B6C0-4E0713CC7146}"/>
    <hyperlink ref="A110" r:id="rId108" display="https://www.theglobaleconomy.com/USA/Inflation/" xr:uid="{75CF71B7-1E7C-484F-B93C-6E174B26A362}"/>
    <hyperlink ref="A111" r:id="rId109" display="https://www.theglobaleconomy.com/Belgium/Inflation/" xr:uid="{D64814E8-ABAC-4320-A14B-766B2B198681}"/>
    <hyperlink ref="A112" r:id="rId110" display="https://www.theglobaleconomy.com/El-Salvador/Inflation/" xr:uid="{DA16FD8A-A759-4BA5-8B89-8A5C3418A1FA}"/>
    <hyperlink ref="A113" r:id="rId111" display="https://www.theglobaleconomy.com/Canada/Inflation/" xr:uid="{89A4BF94-E795-41C0-8756-37C6E9B6F9C2}"/>
    <hyperlink ref="A114" r:id="rId112" display="https://www.theglobaleconomy.com/Netherlands/Inflation/" xr:uid="{6CE0237F-67A1-4DFF-96A5-22FF10C97025}"/>
    <hyperlink ref="A115" r:id="rId113" display="https://www.theglobaleconomy.com/Tanzania/Inflation/" xr:uid="{D3E16594-1D7D-4378-817A-4A5656C82096}"/>
    <hyperlink ref="A116" r:id="rId114" display="https://www.theglobaleconomy.com/Cape-Verde/Inflation/" xr:uid="{7CE19B69-1F62-4D88-AA35-065B3F3886CE}"/>
    <hyperlink ref="A117" r:id="rId115" display="https://www.theglobaleconomy.com/Indonesia/Inflation/" xr:uid="{9A3B7E36-F5D5-4031-995D-038836622706}"/>
    <hyperlink ref="A118" r:id="rId116" display="https://www.theglobaleconomy.com/Luxembourg/Inflation/" xr:uid="{7CD6EB95-85BA-4DCF-8944-525BC2F0BC0B}"/>
    <hyperlink ref="A119" r:id="rId117" display="https://www.theglobaleconomy.com/Niger/Inflation/" xr:uid="{C431880D-3270-4331-8190-EF0C5149682C}"/>
    <hyperlink ref="A120" r:id="rId118" display="https://www.theglobaleconomy.com/Gabon/Inflation/" xr:uid="{EDFC3680-EC3D-405C-99F3-2E65A99D65AC}"/>
    <hyperlink ref="A121" r:id="rId119" display="https://www.theglobaleconomy.com/Kuwait/Inflation/" xr:uid="{77644D71-2895-427C-8B0C-2BB477839E5B}"/>
    <hyperlink ref="A122" r:id="rId120" display="https://www.theglobaleconomy.com/South-Korea/Inflation/" xr:uid="{E211E938-70D1-49F1-B8AC-65CC25566C1D}"/>
    <hyperlink ref="A123" r:id="rId121" display="https://www.theglobaleconomy.com/Cyprus/Inflation/" xr:uid="{710DAA9A-A4A8-4499-AFA2-C29D171E1240}"/>
    <hyperlink ref="A124" r:id="rId122" display="https://www.theglobaleconomy.com/Greece/Inflation/" xr:uid="{261E3687-2704-44F2-B501-3949EFF76E55}"/>
    <hyperlink ref="A125" r:id="rId123" display="https://www.theglobaleconomy.com/Spain/Inflation/" xr:uid="{A83AEEE4-35CB-460B-8092-60481299C73B}"/>
    <hyperlink ref="A126" r:id="rId124" display="https://www.theglobaleconomy.com/Denmark/Inflation/" xr:uid="{565F225E-290B-4EF8-A740-6152FA031C4F}"/>
    <hyperlink ref="A127" r:id="rId125" display="https://www.theglobaleconomy.com/Japan/Inflation/" xr:uid="{19994335-F71C-48A8-9DE8-2013E8E386F4}"/>
    <hyperlink ref="A128" r:id="rId126" display="https://www.theglobaleconomy.com/Vietnam/Inflation/" xr:uid="{99CDDB3B-3134-4ACF-A1A1-5A2E14849358}"/>
    <hyperlink ref="A129" r:id="rId127" display="https://www.theglobaleconomy.com/Bahamas/Inflation/" xr:uid="{5FB7E1DF-3EE3-4CA3-838C-BF49B91ACD7F}"/>
    <hyperlink ref="A130" r:id="rId128" display="https://www.theglobaleconomy.com/Central-African-Republic/Inflation/" xr:uid="{F89EBDC7-5DDD-453F-B388-C727F5EFBCA2}"/>
    <hyperlink ref="A131" r:id="rId129" display="https://www.theglobaleconomy.com/Qatar/Inflation/" xr:uid="{D8E302A4-8D23-411A-AF6B-287679C3370B}"/>
    <hyperlink ref="A132" r:id="rId130" display="https://www.theglobaleconomy.com/Maldives/Inflation/" xr:uid="{299322D8-6C24-47CA-8932-06878FB089AD}"/>
    <hyperlink ref="A133" r:id="rId131" display="https://www.theglobaleconomy.com/Guyana/Inflation/" xr:uid="{297113A9-8FD4-4D04-8131-68BE7273ED7A}"/>
    <hyperlink ref="A134" r:id="rId132" display="https://www.theglobaleconomy.com/Benin/Inflation/" xr:uid="{1C8C5377-BB5F-4AAB-95C4-9BD2D6807187}"/>
    <hyperlink ref="A135" r:id="rId133" display="https://www.theglobaleconomy.com/Grenada/Inflation/" xr:uid="{11F3EC2E-71CE-4E80-8982-ADDAF226FD1E}"/>
    <hyperlink ref="A136" r:id="rId134" display="https://www.theglobaleconomy.com/Bolivia/Inflation/" xr:uid="{72EED6F7-67D9-4542-8935-D1D7789B8FF7}"/>
    <hyperlink ref="A137" r:id="rId135" display="https://www.theglobaleconomy.com/Georgia/Inflation/" xr:uid="{42590504-BD83-4837-AB0F-68C783DAAC90}"/>
    <hyperlink ref="A138" r:id="rId136" display="https://www.theglobaleconomy.com/Malaysia/Inflation/" xr:uid="{B8C86DDA-7ABB-401B-A67B-08E9E0704F71}"/>
    <hyperlink ref="A139" r:id="rId137" display="https://www.theglobaleconomy.com/Libya/Inflation/" xr:uid="{4D61E037-25F1-4D10-98E9-C041E7F6414E}"/>
    <hyperlink ref="A140" r:id="rId138" display="https://www.theglobaleconomy.com/Papua-New-Guinea/Inflation/" xr:uid="{E61A1953-D0A3-42AE-9F36-777591BC2972}"/>
    <hyperlink ref="A141" r:id="rId139" display="https://www.theglobaleconomy.com/Saudi-Arabia/Inflation/" xr:uid="{EDC5A7A3-31DA-488C-8DA2-58A3180D2EB6}"/>
    <hyperlink ref="A142" r:id="rId140" display="https://www.theglobaleconomy.com/Ecuador/Inflation/" xr:uid="{5CC6FDB1-CC67-47F7-A0CE-1B07936FC777}"/>
    <hyperlink ref="A143" r:id="rId141" display="https://www.theglobaleconomy.com/Cambodia/Inflation/" xr:uid="{678E3525-5297-4F61-A76E-D42438A5D33A}"/>
    <hyperlink ref="A144" r:id="rId142" display="https://www.theglobaleconomy.com/Fiji/Inflation/" xr:uid="{8CDDBE87-6D71-409B-B81A-82C41678CC1E}"/>
    <hyperlink ref="A145" r:id="rId143" display="https://www.theglobaleconomy.com/Hong-Kong/Inflation/" xr:uid="{5028366F-46B8-47C5-99AD-E39DFF3BE4D7}"/>
    <hyperlink ref="A146" r:id="rId144" display="https://www.theglobaleconomy.com/Jordan/Inflation/" xr:uid="{6445CDF6-4D4F-427E-83F5-2CF6098190EB}"/>
    <hyperlink ref="A147" r:id="rId145" display="https://www.theglobaleconomy.com/Mali/Inflation/" xr:uid="{B14A5EFF-CFAC-443E-83DE-4A4993F3872F}"/>
    <hyperlink ref="A148" r:id="rId146" display="https://www.theglobaleconomy.com/Switzerland/Inflation/" xr:uid="{EE44A12F-459D-4A66-88C1-36D0FACE5965}"/>
    <hyperlink ref="A149" r:id="rId147" display="https://www.theglobaleconomy.com/Armenia/Inflation/" xr:uid="{B1827738-AA91-4889-8A44-2B07C2F56775}"/>
    <hyperlink ref="A150" r:id="rId148" display="https://www.theglobaleconomy.com/United-Arab-Emirates/Inflation/" xr:uid="{02ECD6F5-95F1-4402-B3F2-5F5C73C5F3B4}"/>
    <hyperlink ref="A151" r:id="rId149" display="https://www.theglobaleconomy.com/Djibouti/Inflation/" xr:uid="{549C48E2-DABE-42D8-872C-F23C5188C1D7}"/>
    <hyperlink ref="A152" r:id="rId150" display="https://www.theglobaleconomy.com/Panama/Inflation/" xr:uid="{2522CE56-8C19-4C9A-9628-ADF0888410DB}"/>
    <hyperlink ref="A153" r:id="rId151" display="https://www.theglobaleconomy.com/Thailand/Inflation/" xr:uid="{3F95EC9B-F134-4702-962D-7C8987813141}"/>
    <hyperlink ref="A154" r:id="rId152" display="https://www.theglobaleconomy.com/Oman/Inflation/" xr:uid="{BC913E0E-94E4-47E2-8B05-560C941A9F64}"/>
    <hyperlink ref="A155" r:id="rId153" display="https://www.theglobaleconomy.com/Burkina-Faso/Inflation/" xr:uid="{B81FC085-D69A-4455-B870-CC5F10508B90}"/>
    <hyperlink ref="A156" r:id="rId154" display="https://www.theglobaleconomy.com/Costa-Rica/Inflation/" xr:uid="{6C6DD7FC-7ADF-4EA0-B451-77C3FEA66D5B}"/>
    <hyperlink ref="A157" r:id="rId155" display="https://www.theglobaleconomy.com/Macao/Inflation/" xr:uid="{D8E78806-BC49-4C4C-B508-876F16F2F690}"/>
    <hyperlink ref="A158" r:id="rId156" display="https://www.theglobaleconomy.com/Brunei/Inflation/" xr:uid="{6FE5BD8E-D72A-48D8-995E-86E8F142B342}"/>
    <hyperlink ref="A159" r:id="rId157" display="https://www.theglobaleconomy.com/China/Inflation/" xr:uid="{7E34814E-D984-4A28-B6DD-53D960AA62DF}"/>
    <hyperlink ref="A160" r:id="rId158" display="https://www.theglobaleconomy.com/Bahrain/Inflation/" xr:uid="{C81E9602-C04D-491C-9871-8EDD9DF99271}"/>
    <hyperlink ref="A161" r:id="rId159" display="https://www.theglobaleconomy.com/Seychelles/Inflation/" xr:uid="{E0DE9C89-16B6-4036-ADCB-30F772B4826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E2976166840A439FC200F64F73D6C6" ma:contentTypeVersion="21" ma:contentTypeDescription="Create a new document." ma:contentTypeScope="" ma:versionID="03523562bd89e37af47fedf60b037eae">
  <xsd:schema xmlns:xsd="http://www.w3.org/2001/XMLSchema" xmlns:xs="http://www.w3.org/2001/XMLSchema" xmlns:p="http://schemas.microsoft.com/office/2006/metadata/properties" xmlns:ns2="143bb2b0-7753-4975-bbf7-982030554e3b" xmlns:ns3="4d150857-43f6-4916-81db-86e9d3e0338d" targetNamespace="http://schemas.microsoft.com/office/2006/metadata/properties" ma:root="true" ma:fieldsID="7a0f3550fc94e64b797dfa7a2fb13110" ns2:_="" ns3:_="">
    <xsd:import namespace="143bb2b0-7753-4975-bbf7-982030554e3b"/>
    <xsd:import namespace="4d150857-43f6-4916-81db-86e9d3e033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Complete" minOccurs="0"/>
                <xsd:element ref="ns2:ArchiverLinkFileTyp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bb2b0-7753-4975-bbf7-982030554e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plete" ma:index="26" nillable="true" ma:displayName="Complete" ma:default="In Progress" ma:format="RadioButtons" ma:internalName="Complete">
      <xsd:simpleType>
        <xsd:restriction base="dms:Choice">
          <xsd:enumeration value="Complete"/>
          <xsd:enumeration value="In Progress"/>
          <xsd:enumeration value="Blocked"/>
        </xsd:restriction>
      </xsd:simpleType>
    </xsd:element>
    <xsd:element name="ArchiverLinkFileType" ma:index="27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50857-43f6-4916-81db-86e9d3e0338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ae8578c-ba57-494d-af3b-b426f1437d3d}" ma:internalName="TaxCatchAll" ma:showField="CatchAllData" ma:web="4d150857-43f6-4916-81db-86e9d3e033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plete xmlns="143bb2b0-7753-4975-bbf7-982030554e3b">In Progress</Complete>
    <ArchiverLinkFileType xmlns="143bb2b0-7753-4975-bbf7-982030554e3b" xsi:nil="true"/>
    <TaxCatchAll xmlns="4d150857-43f6-4916-81db-86e9d3e0338d" xsi:nil="true"/>
    <lcf76f155ced4ddcb4097134ff3c332f xmlns="143bb2b0-7753-4975-bbf7-982030554e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4C19BA-B1D2-4C5B-8428-096E22F6E4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3bb2b0-7753-4975-bbf7-982030554e3b"/>
    <ds:schemaRef ds:uri="4d150857-43f6-4916-81db-86e9d3e033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63C102-5C95-411D-AD75-FA00F01FC4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09A655-CE71-40C9-868E-7F274AF57CF9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4d150857-43f6-4916-81db-86e9d3e0338d"/>
    <ds:schemaRef ds:uri="143bb2b0-7753-4975-bbf7-982030554e3b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d026e4c1-5892-497a-b9da-ee493c9f0364}" enabled="0" method="" siteId="{d026e4c1-5892-497a-b9da-ee493c9f03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Human Development Index 2022</vt:lpstr>
      <vt:lpstr>202503421 Tourism Ireland - Dis</vt:lpstr>
      <vt:lpstr>Country Decoder - no media cost</vt:lpstr>
      <vt:lpstr>Country Decoder - All Factors</vt:lpstr>
      <vt:lpstr>Model</vt:lpstr>
      <vt:lpstr>TD Raw Data</vt:lpstr>
      <vt:lpstr>Hourly Minimum Wage Raw Data</vt:lpstr>
      <vt:lpstr>NoofMillionaires Raw Data</vt:lpstr>
      <vt:lpstr>Population Raw Data</vt:lpstr>
      <vt:lpstr>Inflation Rate Raw Data</vt:lpstr>
      <vt:lpstr>'Country Decoder - no media cost'!Print_Area</vt:lpstr>
      <vt:lpstr>Model!Print_Area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Zhang, Jenny (LDN-UMW)</dc:creator>
  <cp:keywords/>
  <dc:description/>
  <cp:lastModifiedBy>Emre Kaya (Omnicom)</cp:lastModifiedBy>
  <cp:revision/>
  <dcterms:created xsi:type="dcterms:W3CDTF">2025-03-19T15:51:42Z</dcterms:created>
  <dcterms:modified xsi:type="dcterms:W3CDTF">2026-07-11T08:44:35Z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0x010100E6E2976166840A439FC200F64F73D6C6</vt:lpwstr>
  </property>
  <property fmtid="{D5CDD505-2E9C-101B-9397-08002B2CF9AE}" pid="3" name="MediaServiceImageTags">
    <vt:lpwstr/>
  </property>
</Properties>
</file>